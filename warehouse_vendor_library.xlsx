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fbaa8af0f14a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ndor Library" sheetId="1" r:id="R444fba9695034f88"/>
    <x:sheet xmlns:r="http://schemas.openxmlformats.org/officeDocument/2006/relationships" name="Technology Performance Database" sheetId="2" r:id="Raa19e9492bfe4927"/>
    <x:sheet xmlns:r="http://schemas.openxmlformats.org/officeDocument/2006/relationships" name="Resources" sheetId="3" r:id="R3e84449ea3704a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SGD &quot;#,##0"/>
    <x:numFmt numFmtId="201" formatCode="0.0"/>
    <x:numFmt numFmtId="202" formatCode="0"/>
    <x:numFmt numFmtId="203" formatCode="yyyy-mm-dd"/>
  </x:numFmts>
  <x:fonts count="15">
    <x:font>
      <x:sz val="11"/>
      <x:name val="Carlito"/>
    </x:font>
    <x:font>
      <x:b/>
      <x:sz val="16"/>
      <x:color rgb="FFFFFFFF"/>
      <x:name val="Carlito"/>
    </x:font>
    <x:font>
      <x:b/>
      <x:sz val="10"/>
      <x:color rgb="FF7C2D12"/>
      <x:name val="Carlito"/>
    </x:font>
    <x:font>
      <x:b/>
      <x:sz val="10"/>
      <x:color rgb="FFFFFFFF"/>
      <x:name val="Carlito"/>
    </x:font>
    <x:font>
      <x:sz val="10"/>
      <x:color rgb="FF17324D"/>
      <x:name val="Carlito"/>
    </x:font>
    <x:font>
      <x:b/>
      <x:sz val="12"/>
      <x:color rgb="FFFFFFFF"/>
      <x:name val="Carlito"/>
    </x:font>
    <x:font>
      <x:sz val="11"/>
      <x:color rgb="FF17324D"/>
      <x:name val="Carlito"/>
    </x:font>
    <x:font>
      <x:b/>
      <x:sz val="11"/>
      <x:color rgb="FF9A3412"/>
      <x:name val="Carlito"/>
    </x:font>
    <x:font>
      <x:b/>
      <x:sz val="11"/>
      <x:color rgb="FF17324D"/>
      <x:name val="Carlito"/>
    </x:font>
    <x:font>
      <x:b/>
      <x:sz val="11"/>
      <x:color rgb="FF166534"/>
      <x:name val="Carlito"/>
    </x:font>
    <x:font>
      <x:i/>
      <x:sz val="10"/>
      <x:color rgb="FF17324D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sz val="9"/>
      <x:color rgb="FF17324D"/>
      <x:name val="Carlito"/>
    </x:font>
    <x:font>
      <x:b/>
      <x:sz val="18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F5F7FA"/>
      </x:patternFill>
    </x:fill>
    <x:fill>
      <x:patternFill patternType="solid">
        <x:fgColor rgb="FFFFFFFF"/>
      </x:patternFill>
    </x:fill>
    <x:fill>
      <x:patternFill patternType="solid">
        <x:fgColor rgb="FF0F8F83"/>
      </x:patternFill>
    </x:fill>
    <x:fill>
      <x:patternFill patternType="solid">
        <x:fgColor rgb="FFD9EAF7"/>
      </x:patternFill>
    </x:fill>
    <x:fill>
      <x:patternFill patternType="solid">
        <x:fgColor rgb="FFD9F2E6"/>
      </x:patternFill>
    </x:fill>
    <x:fill>
      <x:patternFill patternType="solid">
        <x:fgColor rgb="FF0F355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8FAFC"/>
      </x:patternFill>
    </x:fill>
  </x:fills>
  <x:borders count="41">
    <x:border/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</x:border>
    <x:border>
      <x:left style="thin">
        <x:color rgb="FFB7C9D6"/>
      </x:left>
      <x:right style="thin">
        <x:color rgb="FFB7C9D6"/>
      </x:right>
    </x:border>
    <x:border>
      <x:left style="thin">
        <x:color rgb="FF808080"/>
      </x:left>
      <x:top style="thin">
        <x:color rgb="FF808080"/>
      </x:top>
      <x:bottom style="thin">
        <x:color rgb="FF808080"/>
      </x:bottom>
    </x:border>
    <x:border>
      <x:top style="thin">
        <x:color rgb="FF808080"/>
      </x:top>
      <x:bottom style="thin">
        <x:color rgb="FF808080"/>
      </x:bottom>
    </x:border>
    <x:border>
      <x:right style="thin">
        <x:color rgb="FF808080"/>
      </x:right>
      <x:top style="thin">
        <x:color rgb="FF808080"/>
      </x:top>
      <x:bottom style="thin">
        <x:color rgb="FF808080"/>
      </x:bottom>
    </x:border>
    <x:border>
      <x:left style="thin">
        <x:color rgb="FFD9E0EA"/>
      </x:left>
      <x:top style="thin">
        <x:color rgb="FFD9E0EA"/>
      </x:top>
    </x:border>
    <x:border>
      <x:top style="thin">
        <x:color rgb="FFD9E0EA"/>
      </x:top>
    </x:border>
    <x:border>
      <x:right style="thin">
        <x:color rgb="FFD9E0EA"/>
      </x:right>
      <x:top style="thin">
        <x:color rgb="FFD9E0EA"/>
      </x:top>
    </x:border>
    <x:border>
      <x:left style="thin">
        <x:color rgb="FFD9E0EA"/>
      </x:left>
    </x:border>
    <x:border>
      <x:right style="thin">
        <x:color rgb="FFD9E0EA"/>
      </x:right>
    </x:border>
    <x:border>
      <x:left style="thin">
        <x:color rgb="FFD9E0EA"/>
      </x:left>
      <x:bottom style="thin">
        <x:color rgb="FFD9E0EA"/>
      </x:bottom>
    </x:border>
    <x:border>
      <x:bottom style="thin">
        <x:color rgb="FFD9E0EA"/>
      </x:bottom>
    </x:border>
    <x:border>
      <x:right style="thin">
        <x:color rgb="FFD9E0EA"/>
      </x:right>
      <x:bottom style="thin">
        <x:color rgb="FFD9E0EA"/>
      </x:bottom>
    </x:border>
  </x:borders>
  <x:cellStyleXfs count="1">
    <x:xf numFmtId="0" fontId="0" fillId="0" borderId="0"/>
  </x:cellStyleXfs>
  <x:cellXfs count="59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14" xfId="0" applyNumberFormat="1" applyFont="1" applyFill="1" applyBorder="1"/>
    <x:xf numFmtId="0" fontId="4" fillId="0" borderId="15" xfId="0" applyNumberFormat="1" applyFont="1" applyFill="1" applyBorder="1"/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/>
    <x:xf numFmtId="0" fontId="4" fillId="0" borderId="16" xfId="0" applyNumberFormat="1" applyFont="1" applyFill="1" applyBorder="1"/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20" xfId="0" applyNumberFormat="1" applyFont="1" applyFill="1" applyBorder="1"/>
    <x:xf numFmtId="0" fontId="4" fillId="0" borderId="21" xfId="0" applyNumberFormat="1" applyFont="1" applyFill="1" applyBorder="1"/>
    <x:xf numFmtId="0" fontId="4" fillId="0" borderId="22" xfId="0" applyNumberFormat="1" applyFont="1" applyFill="1" applyBorder="1"/>
    <x:xf numFmtId="0" fontId="4" fillId="0" borderId="23" xfId="0" applyNumberFormat="1" applyFont="1" applyFill="1" applyBorder="1"/>
    <x:xf numFmtId="0" fontId="4" fillId="0" borderId="16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4" fillId="0" borderId="18" xfId="0" applyNumberFormat="1" applyFont="1" applyFill="1" applyBorder="1" applyAlignment="1">
      <x:alignment wrapText="1"/>
    </x:xf>
    <x:xf numFmtId="0" fontId="4" fillId="0" borderId="19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0" xfId="0" applyNumberFormat="1" applyFont="1" applyFill="1" applyBorder="1" applyAlignment="1">
      <x:alignment wrapText="1"/>
    </x:xf>
    <x:xf numFmtId="0" fontId="4" fillId="0" borderId="21" xfId="0" applyNumberFormat="1" applyFont="1" applyFill="1" applyBorder="1" applyAlignment="1">
      <x:alignment wrapText="1"/>
    </x:xf>
    <x:xf numFmtId="0" fontId="4" fillId="0" borderId="22" xfId="0" applyNumberFormat="1" applyFont="1" applyFill="1" applyBorder="1" applyAlignment="1">
      <x:alignment wrapText="1"/>
    </x:xf>
    <x:xf numFmtId="0" fontId="4" fillId="0" borderId="23" xfId="0" applyNumberFormat="1" applyFont="1" applyFill="1" applyBorder="1" applyAlignment="1">
      <x:alignment wrapText="1"/>
    </x:xf>
    <x:xf numFmtId="0" fontId="4" fillId="0" borderId="16" xfId="0" applyNumberFormat="1" applyFont="1" applyFill="1" applyBorder="1" applyAlignment="1">
      <x:alignment vertical="center" wrapText="1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0" xfId="0" applyNumberFormat="1" applyFont="1" applyFill="1" applyBorder="1" applyAlignment="1">
      <x:alignment vertical="center" wrapText="1"/>
    </x:xf>
    <x:xf numFmtId="0" fontId="4" fillId="0" borderId="21" xfId="0" applyNumberFormat="1" applyFont="1" applyFill="1" applyBorder="1" applyAlignment="1">
      <x:alignment vertical="center" wrapText="1"/>
    </x:xf>
    <x:xf numFmtId="0" fontId="4" fillId="0" borderId="22" xfId="0" applyNumberFormat="1" applyFont="1" applyFill="1" applyBorder="1" applyAlignment="1">
      <x:alignment vertical="center" wrapText="1"/>
    </x:xf>
    <x:xf numFmtId="0" fontId="4" fillId="0" borderId="23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4" fillId="5" borderId="10" xfId="0" applyNumberFormat="1" applyFont="1" applyFill="1" applyBorder="1" applyAlignment="1">
      <x:alignment vertical="center" wrapText="1"/>
    </x:xf>
    <x:xf numFmtId="0" fontId="4" fillId="5" borderId="16" xfId="0" applyNumberFormat="1" applyFont="1" applyFill="1" applyBorder="1" applyAlignment="1">
      <x:alignment vertical="center" wrapText="1"/>
    </x:xf>
    <x:xf numFmtId="0" fontId="4" fillId="5" borderId="17" xfId="0" applyNumberFormat="1" applyFont="1" applyFill="1" applyBorder="1" applyAlignment="1">
      <x:alignment vertical="center" wrapText="1"/>
    </x:xf>
    <x:xf numFmtId="0" fontId="4" fillId="5" borderId="18" xfId="0" applyNumberFormat="1" applyFont="1" applyFill="1" applyBorder="1" applyAlignment="1">
      <x:alignment vertical="center" wrapText="1"/>
    </x:xf>
    <x:xf numFmtId="0" fontId="4" fillId="6" borderId="1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2" xfId="0" applyNumberFormat="1" applyFont="1" applyFill="1" applyBorder="1" applyAlignment="1">
      <x:alignment vertical="center" wrapText="1"/>
    </x:xf>
    <x:xf numFmtId="0" fontId="4" fillId="6" borderId="19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5" borderId="1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9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0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21" xfId="0" applyNumberFormat="1" applyFont="1" applyFill="1" applyBorder="1" applyAlignment="1">
      <x:alignment vertical="center" wrapText="1"/>
    </x:xf>
    <x:xf numFmtId="0" fontId="4" fillId="6" borderId="22" xfId="0" applyNumberFormat="1" applyFont="1" applyFill="1" applyBorder="1" applyAlignment="1">
      <x:alignment vertical="center" wrapText="1"/>
    </x:xf>
    <x:xf numFmtId="0" fontId="4" fillId="6" borderId="23" xfId="0" applyNumberFormat="1" applyFont="1" applyFill="1" applyBorder="1" applyAlignment="1">
      <x:alignment vertical="center" wrapText="1"/>
    </x:xf>
    <x:xf numFmtId="200" fontId="4" fillId="5" borderId="10" xfId="0" applyNumberFormat="1" applyFont="1" applyFill="1" applyBorder="1" applyAlignment="1">
      <x:alignment vertical="center" wrapText="1"/>
    </x:xf>
    <x:xf numFmtId="200" fontId="4" fillId="6" borderId="12" xfId="0" applyNumberFormat="1" applyFont="1" applyFill="1" applyBorder="1" applyAlignment="1">
      <x:alignment vertical="center" wrapText="1"/>
    </x:xf>
    <x:xf numFmtId="200" fontId="4" fillId="5" borderId="12" xfId="0" applyNumberFormat="1" applyFont="1" applyFill="1" applyBorder="1" applyAlignment="1">
      <x:alignment vertical="center" wrapText="1"/>
    </x:xf>
    <x:xf numFmtId="200" fontId="4" fillId="6" borderId="15" xfId="0" applyNumberFormat="1" applyFont="1" applyFill="1" applyBorder="1" applyAlignment="1">
      <x:alignment vertical="center" wrapText="1"/>
    </x:xf>
    <x:xf numFmtId="200" fontId="4" fillId="5" borderId="18" xfId="0" applyNumberFormat="1" applyFont="1" applyFill="1" applyBorder="1" applyAlignment="1">
      <x:alignment vertical="center" wrapText="1"/>
    </x:xf>
    <x:xf numFmtId="200" fontId="4" fillId="6" borderId="20" xfId="0" applyNumberFormat="1" applyFont="1" applyFill="1" applyBorder="1" applyAlignment="1">
      <x:alignment vertical="center" wrapText="1"/>
    </x:xf>
    <x:xf numFmtId="200" fontId="4" fillId="5" borderId="20" xfId="0" applyNumberFormat="1" applyFont="1" applyFill="1" applyBorder="1" applyAlignment="1">
      <x:alignment vertical="center" wrapText="1"/>
    </x:xf>
    <x:xf numFmtId="200" fontId="4" fillId="6" borderId="23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8" xfId="0" applyNumberFormat="1" applyFont="1" applyFill="1" applyBorder="1"/>
    <x:xf numFmtId="0" fontId="6" fillId="8" borderId="9" xfId="0" applyNumberFormat="1" applyFont="1" applyFill="1" applyBorder="1"/>
    <x:xf numFmtId="0" fontId="6" fillId="8" borderId="10" xfId="0" applyNumberFormat="1" applyFont="1" applyFill="1" applyBorder="1"/>
    <x:xf numFmtId="0" fontId="6" fillId="8" borderId="13" xfId="0" applyNumberFormat="1" applyFont="1" applyFill="1" applyBorder="1"/>
    <x:xf numFmtId="0" fontId="6" fillId="8" borderId="14" xfId="0" applyNumberFormat="1" applyFont="1" applyFill="1" applyBorder="1"/>
    <x:xf numFmtId="0" fontId="6" fillId="8" borderId="15" xfId="0" applyNumberFormat="1" applyFont="1" applyFill="1" applyBorder="1"/>
    <x:xf numFmtId="0" fontId="6" fillId="8" borderId="8" xfId="0" applyNumberFormat="1" applyFont="1" applyFill="1" applyBorder="1" applyAlignment="1">
      <x:alignment wrapText="1"/>
    </x:xf>
    <x:xf numFmtId="0" fontId="6" fillId="8" borderId="9" xfId="0" applyNumberFormat="1" applyFont="1" applyFill="1" applyBorder="1" applyAlignment="1">
      <x:alignment wrapText="1"/>
    </x:xf>
    <x:xf numFmtId="0" fontId="6" fillId="8" borderId="10" xfId="0" applyNumberFormat="1" applyFont="1" applyFill="1" applyBorder="1" applyAlignment="1">
      <x:alignment wrapText="1"/>
    </x:xf>
    <x:xf numFmtId="0" fontId="6" fillId="8" borderId="13" xfId="0" applyNumberFormat="1" applyFont="1" applyFill="1" applyBorder="1" applyAlignment="1">
      <x:alignment wrapText="1"/>
    </x:xf>
    <x:xf numFmtId="0" fontId="6" fillId="8" borderId="14" xfId="0" applyNumberFormat="1" applyFont="1" applyFill="1" applyBorder="1" applyAlignment="1">
      <x:alignment wrapText="1"/>
    </x:xf>
    <x:xf numFmtId="0" fontId="6" fillId="8" borderId="15" xfId="0" applyNumberFormat="1" applyFont="1" applyFill="1" applyBorder="1" applyAlignment="1">
      <x:alignment wrapText="1"/>
    </x:xf>
    <x:xf numFmtId="0" fontId="6" fillId="8" borderId="8" xfId="0" applyNumberFormat="1" applyFont="1" applyFill="1" applyBorder="1" applyAlignment="1">
      <x:alignment vertical="center" wrapText="1"/>
    </x:xf>
    <x:xf numFmtId="0" fontId="6" fillId="8" borderId="9" xfId="0" applyNumberFormat="1" applyFont="1" applyFill="1" applyBorder="1" applyAlignment="1">
      <x:alignment vertical="center" wrapText="1"/>
    </x:xf>
    <x:xf numFmtId="0" fontId="6" fillId="8" borderId="10" xfId="0" applyNumberFormat="1" applyFont="1" applyFill="1" applyBorder="1" applyAlignment="1">
      <x:alignment vertical="center" wrapText="1"/>
    </x:xf>
    <x:xf numFmtId="0" fontId="6" fillId="8" borderId="13" xfId="0" applyNumberFormat="1" applyFont="1" applyFill="1" applyBorder="1" applyAlignment="1">
      <x:alignment vertical="center" wrapText="1"/>
    </x:xf>
    <x:xf numFmtId="0" fontId="6" fillId="8" borderId="14" xfId="0" applyNumberFormat="1" applyFont="1" applyFill="1" applyBorder="1" applyAlignment="1">
      <x:alignment vertical="center" wrapText="1"/>
    </x:xf>
    <x:xf numFmtId="0" fontId="6" fillId="8" borderId="15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/>
    <x:xf numFmtId="0" fontId="6" fillId="8" borderId="1" xfId="0" applyNumberFormat="1" applyFont="1" applyFill="1" applyBorder="1"/>
    <x:xf numFmtId="0" fontId="6" fillId="8" borderId="16" xfId="0" applyNumberFormat="1" applyFont="1" applyFill="1" applyBorder="1"/>
    <x:xf numFmtId="0" fontId="6" fillId="8" borderId="17" xfId="0" applyNumberFormat="1" applyFont="1" applyFill="1" applyBorder="1"/>
    <x:xf numFmtId="0" fontId="6" fillId="8" borderId="18" xfId="0" applyNumberFormat="1" applyFont="1" applyFill="1" applyBorder="1"/>
    <x:xf numFmtId="0" fontId="6" fillId="8" borderId="21" xfId="0" applyNumberFormat="1" applyFont="1" applyFill="1" applyBorder="1"/>
    <x:xf numFmtId="0" fontId="6" fillId="8" borderId="22" xfId="0" applyNumberFormat="1" applyFont="1" applyFill="1" applyBorder="1"/>
    <x:xf numFmtId="0" fontId="6" fillId="8" borderId="23" xfId="0" applyNumberFormat="1" applyFont="1" applyFill="1" applyBorder="1"/>
    <x:xf numFmtId="0" fontId="6" fillId="8" borderId="16" xfId="0" applyNumberFormat="1" applyFont="1" applyFill="1" applyBorder="1" applyAlignment="1">
      <x:alignment wrapText="1"/>
    </x:xf>
    <x:xf numFmtId="0" fontId="6" fillId="8" borderId="17" xfId="0" applyNumberFormat="1" applyFont="1" applyFill="1" applyBorder="1" applyAlignment="1">
      <x:alignment wrapText="1"/>
    </x:xf>
    <x:xf numFmtId="0" fontId="6" fillId="8" borderId="18" xfId="0" applyNumberFormat="1" applyFont="1" applyFill="1" applyBorder="1" applyAlignment="1">
      <x:alignment wrapText="1"/>
    </x:xf>
    <x:xf numFmtId="0" fontId="6" fillId="8" borderId="21" xfId="0" applyNumberFormat="1" applyFont="1" applyFill="1" applyBorder="1" applyAlignment="1">
      <x:alignment wrapText="1"/>
    </x:xf>
    <x:xf numFmtId="0" fontId="6" fillId="8" borderId="22" xfId="0" applyNumberFormat="1" applyFont="1" applyFill="1" applyBorder="1" applyAlignment="1">
      <x:alignment wrapText="1"/>
    </x:xf>
    <x:xf numFmtId="0" fontId="6" fillId="8" borderId="23" xfId="0" applyNumberFormat="1" applyFont="1" applyFill="1" applyBorder="1" applyAlignment="1">
      <x:alignment wrapText="1"/>
    </x:xf>
    <x:xf numFmtId="0" fontId="6" fillId="8" borderId="16" xfId="0" applyNumberFormat="1" applyFont="1" applyFill="1" applyBorder="1" applyAlignment="1">
      <x:alignment vertical="center" wrapText="1"/>
    </x:xf>
    <x:xf numFmtId="0" fontId="6" fillId="8" borderId="17" xfId="0" applyNumberFormat="1" applyFont="1" applyFill="1" applyBorder="1" applyAlignment="1">
      <x:alignment vertical="center" wrapText="1"/>
    </x:xf>
    <x:xf numFmtId="0" fontId="6" fillId="8" borderId="18" xfId="0" applyNumberFormat="1" applyFont="1" applyFill="1" applyBorder="1" applyAlignment="1">
      <x:alignment vertical="center" wrapText="1"/>
    </x:xf>
    <x:xf numFmtId="0" fontId="6" fillId="8" borderId="21" xfId="0" applyNumberFormat="1" applyFont="1" applyFill="1" applyBorder="1" applyAlignment="1">
      <x:alignment vertical="center" wrapText="1"/>
    </x:xf>
    <x:xf numFmtId="0" fontId="6" fillId="8" borderId="22" xfId="0" applyNumberFormat="1" applyFont="1" applyFill="1" applyBorder="1" applyAlignment="1">
      <x:alignment vertical="center" wrapText="1"/>
    </x:xf>
    <x:xf numFmtId="0" fontId="6" fillId="8" borderId="23" xfId="0" applyNumberFormat="1" applyFont="1" applyFill="1" applyBorder="1" applyAlignment="1">
      <x:alignment vertical="center" wrapText="1"/>
    </x:xf>
    <x:xf numFmtId="0" fontId="6" fillId="3" borderId="9" xfId="0" applyNumberFormat="1" applyFont="1" applyFill="1" applyBorder="1" applyAlignment="1">
      <x:alignment vertical="center" wrapText="1"/>
    </x:xf>
    <x:xf numFmtId="0" fontId="6" fillId="3" borderId="14" xfId="0" applyNumberFormat="1" applyFont="1" applyFill="1" applyBorder="1" applyAlignment="1">
      <x:alignment vertical="center" wrapText="1"/>
    </x:xf>
    <x:xf numFmtId="0" fontId="7" fillId="3" borderId="9" xfId="0" applyNumberFormat="1" applyFont="1" applyFill="1" applyBorder="1" applyAlignment="1">
      <x:alignment vertical="center" wrapText="1"/>
    </x:xf>
    <x:xf numFmtId="0" fontId="7" fillId="3" borderId="14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vertical="center" wrapText="1"/>
    </x:xf>
    <x:xf numFmtId="0" fontId="7" fillId="3" borderId="25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horizontal="center" vertical="center" wrapText="1"/>
    </x:xf>
    <x:xf numFmtId="0" fontId="7" fillId="3" borderId="25" xfId="0" applyNumberFormat="1" applyFont="1" applyFill="1" applyBorder="1" applyAlignment="1">
      <x:alignment horizontal="center" vertical="center" wrapText="1"/>
    </x:xf>
    <x:xf numFmtId="0" fontId="6" fillId="3" borderId="17" xfId="0" applyNumberFormat="1" applyFont="1" applyFill="1" applyBorder="1" applyAlignment="1">
      <x:alignment vertical="center" wrapText="1"/>
    </x:xf>
    <x:xf numFmtId="0" fontId="6" fillId="3" borderId="22" xfId="0" applyNumberFormat="1" applyFont="1" applyFill="1" applyBorder="1" applyAlignment="1">
      <x:alignment vertical="center" wrapText="1"/>
    </x:xf>
    <x:xf numFmtId="0" fontId="7" fillId="3" borderId="17" xfId="0" applyNumberFormat="1" applyFont="1" applyFill="1" applyBorder="1" applyAlignment="1">
      <x:alignment vertical="center" wrapText="1"/>
    </x:xf>
    <x:xf numFmtId="0" fontId="7" fillId="3" borderId="22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vertical="center" wrapText="1"/>
    </x:xf>
    <x:xf numFmtId="0" fontId="7" fillId="3" borderId="27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horizontal="center" vertical="center" wrapText="1"/>
    </x:xf>
    <x:xf numFmtId="0" fontId="7" fillId="3" borderId="2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8" borderId="8" xfId="0" applyNumberFormat="1" applyFont="1" applyFill="1" applyBorder="1" applyAlignment="1">
      <x:alignment vertical="center" wrapText="1"/>
    </x:xf>
    <x:xf numFmtId="0" fontId="0" fillId="8" borderId="11" xfId="0" applyNumberFormat="1" applyFont="1" applyFill="1" applyBorder="1" applyAlignment="1">
      <x:alignment vertical="center" wrapText="1"/>
    </x:xf>
    <x:xf numFmtId="0" fontId="0" fillId="8" borderId="13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11" xfId="0" applyNumberFormat="1" applyFont="1" applyFill="1" applyBorder="1" applyAlignment="1">
      <x:alignment vertical="center" wrapText="1"/>
    </x:xf>
    <x:xf numFmtId="0" fontId="8" fillId="8" borderId="13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vertical="center" wrapText="1"/>
    </x:xf>
    <x:xf numFmtId="0" fontId="8" fillId="8" borderId="28" xfId="0" applyNumberFormat="1" applyFont="1" applyFill="1" applyBorder="1" applyAlignment="1">
      <x:alignment vertical="center" wrapText="1"/>
    </x:xf>
    <x:xf numFmtId="0" fontId="8" fillId="8" borderId="2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0" fillId="8" borderId="19" xfId="0" applyNumberFormat="1" applyFont="1" applyFill="1" applyBorder="1" applyAlignment="1">
      <x:alignment vertical="center" wrapText="1"/>
    </x:xf>
    <x:xf numFmtId="0" fontId="0" fillId="8" borderId="21" xfId="0" applyNumberFormat="1" applyFont="1" applyFill="1" applyBorder="1" applyAlignment="1">
      <x:alignment vertical="center" wrapText="1"/>
    </x:xf>
    <x:xf numFmtId="0" fontId="8" fillId="8" borderId="16" xfId="0" applyNumberFormat="1" applyFont="1" applyFill="1" applyBorder="1" applyAlignment="1">
      <x:alignment vertical="center" wrapText="1"/>
    </x:xf>
    <x:xf numFmtId="0" fontId="8" fillId="8" borderId="19" xfId="0" applyNumberFormat="1" applyFont="1" applyFill="1" applyBorder="1" applyAlignment="1">
      <x:alignment vertical="center" wrapText="1"/>
    </x:xf>
    <x:xf numFmtId="0" fontId="8" fillId="8" borderId="21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vertical="center" wrapText="1"/>
    </x:xf>
    <x:xf numFmtId="0" fontId="8" fillId="8" borderId="29" xfId="0" applyNumberFormat="1" applyFont="1" applyFill="1" applyBorder="1" applyAlignment="1">
      <x:alignment vertical="center" wrapText="1"/>
    </x:xf>
    <x:xf numFmtId="0" fontId="8" fillId="8" borderId="27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4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vertical="center" wrapText="1"/>
    </x:xf>
    <x:xf numFmtId="0" fontId="7" fillId="3" borderId="10" xfId="0" applyNumberFormat="1" applyFont="1" applyFill="1" applyBorder="1" applyAlignment="1">
      <x:alignment vertical="center" wrapText="1"/>
    </x:xf>
    <x:xf numFmtId="0" fontId="7" fillId="3" borderId="11" xfId="0" applyNumberFormat="1" applyFont="1" applyFill="1" applyBorder="1" applyAlignment="1">
      <x:alignment vertical="center" wrapText="1"/>
    </x:xf>
    <x:xf numFmtId="0" fontId="7" fillId="3" borderId="12" xfId="0" applyNumberFormat="1" applyFont="1" applyFill="1" applyBorder="1" applyAlignment="1">
      <x:alignment vertical="center" wrapText="1"/>
    </x:xf>
    <x:xf numFmtId="0" fontId="7" fillId="3" borderId="13" xfId="0" applyNumberFormat="1" applyFont="1" applyFill="1" applyBorder="1" applyAlignment="1">
      <x:alignment vertical="center" wrapText="1"/>
    </x:xf>
    <x:xf numFmtId="0" fontId="7" fillId="3" borderId="15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horizontal="center" vertical="center" wrapText="1"/>
    </x:xf>
    <x:xf numFmtId="0" fontId="7" fillId="3" borderId="9" xfId="0" applyNumberFormat="1" applyFont="1" applyFill="1" applyBorder="1" applyAlignment="1">
      <x:alignment horizontal="center" vertical="center" wrapText="1"/>
    </x:xf>
    <x:xf numFmtId="0" fontId="7" fillId="3" borderId="10" xfId="0" applyNumberFormat="1" applyFont="1" applyFill="1" applyBorder="1" applyAlignment="1">
      <x:alignment horizontal="center" vertical="center" wrapText="1"/>
    </x:xf>
    <x:xf numFmtId="0" fontId="7" fillId="3" borderId="11" xfId="0" applyNumberFormat="1" applyFont="1" applyFill="1" applyBorder="1" applyAlignment="1">
      <x:alignment horizontal="center" vertical="center"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7" fillId="3" borderId="12" xfId="0" applyNumberFormat="1" applyFont="1" applyFill="1" applyBorder="1" applyAlignment="1">
      <x:alignment horizontal="center" vertical="center" wrapText="1"/>
    </x:xf>
    <x:xf numFmtId="0" fontId="7" fillId="3" borderId="13" xfId="0" applyNumberFormat="1" applyFont="1" applyFill="1" applyBorder="1" applyAlignment="1">
      <x:alignment horizontal="center" vertical="center" wrapText="1"/>
    </x:xf>
    <x:xf numFmtId="0" fontId="7" fillId="3" borderId="14" xfId="0" applyNumberFormat="1" applyFont="1" applyFill="1" applyBorder="1" applyAlignment="1">
      <x:alignment horizontal="center" vertical="center" wrapText="1"/>
    </x:xf>
    <x:xf numFmtId="0" fontId="7" fillId="3" borderId="15" xfId="0" applyNumberFormat="1" applyFont="1" applyFill="1" applyBorder="1" applyAlignment="1">
      <x:alignment horizontal="center" vertical="center" wrapText="1"/>
    </x:xf>
    <x:xf numFmtId="0" fontId="0" fillId="3" borderId="17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3" borderId="22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vertical="center" wrapText="1"/>
    </x:xf>
    <x:xf numFmtId="0" fontId="7" fillId="3" borderId="18" xfId="0" applyNumberFormat="1" applyFont="1" applyFill="1" applyBorder="1" applyAlignment="1">
      <x:alignment vertical="center" wrapText="1"/>
    </x:xf>
    <x:xf numFmtId="0" fontId="7" fillId="3" borderId="19" xfId="0" applyNumberFormat="1" applyFont="1" applyFill="1" applyBorder="1" applyAlignment="1">
      <x:alignment vertical="center" wrapText="1"/>
    </x:xf>
    <x:xf numFmtId="0" fontId="7" fillId="3" borderId="20" xfId="0" applyNumberFormat="1" applyFont="1" applyFill="1" applyBorder="1" applyAlignment="1">
      <x:alignment vertical="center" wrapText="1"/>
    </x:xf>
    <x:xf numFmtId="0" fontId="7" fillId="3" borderId="21" xfId="0" applyNumberFormat="1" applyFont="1" applyFill="1" applyBorder="1" applyAlignment="1">
      <x:alignment vertical="center" wrapText="1"/>
    </x:xf>
    <x:xf numFmtId="0" fontId="7" fillId="3" borderId="23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horizontal="center" vertical="center" wrapText="1"/>
    </x:xf>
    <x:xf numFmtId="0" fontId="7" fillId="3" borderId="17" xfId="0" applyNumberFormat="1" applyFont="1" applyFill="1" applyBorder="1" applyAlignment="1">
      <x:alignment horizontal="center" vertical="center" wrapText="1"/>
    </x:xf>
    <x:xf numFmtId="0" fontId="7" fillId="3" borderId="18" xfId="0" applyNumberFormat="1" applyFont="1" applyFill="1" applyBorder="1" applyAlignment="1">
      <x:alignment horizontal="center" vertical="center" wrapText="1"/>
    </x:xf>
    <x:xf numFmtId="0" fontId="7" fillId="3" borderId="19" xfId="0" applyNumberFormat="1" applyFont="1" applyFill="1" applyBorder="1" applyAlignment="1">
      <x:alignment horizontal="center" vertic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0" fontId="7" fillId="3" borderId="20" xfId="0" applyNumberFormat="1" applyFont="1" applyFill="1" applyBorder="1" applyAlignment="1">
      <x:alignment horizontal="center" vertical="center" wrapText="1"/>
    </x:xf>
    <x:xf numFmtId="0" fontId="7" fillId="3" borderId="21" xfId="0" applyNumberFormat="1" applyFont="1" applyFill="1" applyBorder="1" applyAlignment="1">
      <x:alignment horizontal="center" vertical="center" wrapText="1"/>
    </x:xf>
    <x:xf numFmtId="0" fontId="7" fillId="3" borderId="22" xfId="0" applyNumberFormat="1" applyFont="1" applyFill="1" applyBorder="1" applyAlignment="1">
      <x:alignment horizontal="center" vertical="center" wrapText="1"/>
    </x:xf>
    <x:xf numFmtId="0" fontId="7" fillId="3" borderId="23" xfId="0" applyNumberFormat="1" applyFont="1" applyFill="1" applyBorder="1" applyAlignment="1">
      <x:alignment horizontal="center" vertical="center" wrapText="1"/>
    </x:xf>
    <x:xf numFmtId="0" fontId="0" fillId="9" borderId="10" xfId="0" applyNumberFormat="1" applyFont="1" applyFill="1" applyBorder="1" applyAlignment="1">
      <x:alignment vertical="center" wrapText="1"/>
    </x:xf>
    <x:xf numFmtId="0" fontId="0" fillId="9" borderId="12" xfId="0" applyNumberFormat="1" applyFont="1" applyFill="1" applyBorder="1" applyAlignment="1">
      <x:alignment vertical="center" wrapText="1"/>
    </x:xf>
    <x:xf numFmtId="0" fontId="0" fillId="9" borderId="15" xfId="0" applyNumberFormat="1" applyFont="1" applyFill="1" applyBorder="1" applyAlignment="1">
      <x:alignment vertical="center" wrapText="1"/>
    </x:xf>
    <x:xf numFmtId="0" fontId="9" fillId="9" borderId="10" xfId="0" applyNumberFormat="1" applyFont="1" applyFill="1" applyBorder="1" applyAlignment="1">
      <x:alignment vertical="center" wrapText="1"/>
    </x:xf>
    <x:xf numFmtId="0" fontId="9" fillId="9" borderId="12" xfId="0" applyNumberFormat="1" applyFont="1" applyFill="1" applyBorder="1" applyAlignment="1">
      <x:alignment vertical="center" wrapText="1"/>
    </x:xf>
    <x:xf numFmtId="0" fontId="9" fillId="9" borderId="1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vertical="center" wrapText="1"/>
    </x:xf>
    <x:xf numFmtId="0" fontId="9" fillId="9" borderId="28" xfId="0" applyNumberFormat="1" applyFont="1" applyFill="1" applyBorder="1" applyAlignment="1">
      <x:alignment vertical="center" wrapText="1"/>
    </x:xf>
    <x:xf numFmtId="0" fontId="9" fillId="9" borderId="2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horizontal="center" vertical="center" wrapText="1"/>
    </x:xf>
    <x:xf numFmtId="0" fontId="9" fillId="9" borderId="28" xfId="0" applyNumberFormat="1" applyFont="1" applyFill="1" applyBorder="1" applyAlignment="1">
      <x:alignment horizontal="center" vertical="center" wrapText="1"/>
    </x:xf>
    <x:xf numFmtId="0" fontId="9" fillId="9" borderId="25" xfId="0" applyNumberFormat="1" applyFont="1" applyFill="1" applyBorder="1" applyAlignment="1">
      <x:alignment horizontal="center" vertical="center" wrapText="1"/>
    </x:xf>
    <x:xf numFmtId="0" fontId="0" fillId="9" borderId="18" xfId="0" applyNumberFormat="1" applyFont="1" applyFill="1" applyBorder="1" applyAlignment="1">
      <x:alignment vertical="center" wrapText="1"/>
    </x:xf>
    <x:xf numFmtId="0" fontId="0" fillId="9" borderId="20" xfId="0" applyNumberFormat="1" applyFont="1" applyFill="1" applyBorder="1" applyAlignment="1">
      <x:alignment vertical="center" wrapText="1"/>
    </x:xf>
    <x:xf numFmtId="0" fontId="0" fillId="9" borderId="23" xfId="0" applyNumberFormat="1" applyFont="1" applyFill="1" applyBorder="1" applyAlignment="1">
      <x:alignment vertical="center" wrapText="1"/>
    </x:xf>
    <x:xf numFmtId="0" fontId="9" fillId="9" borderId="18" xfId="0" applyNumberFormat="1" applyFont="1" applyFill="1" applyBorder="1" applyAlignment="1">
      <x:alignment vertical="center" wrapText="1"/>
    </x:xf>
    <x:xf numFmtId="0" fontId="9" fillId="9" borderId="20" xfId="0" applyNumberFormat="1" applyFont="1" applyFill="1" applyBorder="1" applyAlignment="1">
      <x:alignment vertical="center" wrapText="1"/>
    </x:xf>
    <x:xf numFmtId="0" fontId="9" fillId="9" borderId="23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vertical="center" wrapText="1"/>
    </x:xf>
    <x:xf numFmtId="0" fontId="9" fillId="9" borderId="29" xfId="0" applyNumberFormat="1" applyFont="1" applyFill="1" applyBorder="1" applyAlignment="1">
      <x:alignment vertical="center" wrapText="1"/>
    </x:xf>
    <x:xf numFmtId="0" fontId="9" fillId="9" borderId="27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horizontal="center" vertical="center" wrapText="1"/>
    </x:xf>
    <x:xf numFmtId="0" fontId="9" fillId="9" borderId="29" xfId="0" applyNumberFormat="1" applyFont="1" applyFill="1" applyBorder="1" applyAlignment="1">
      <x:alignment horizontal="center" vertical="center" wrapText="1"/>
    </x:xf>
    <x:xf numFmtId="0" fontId="9" fillId="9" borderId="27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horizontal="center" wrapText="1"/>
    </x:xf>
    <x:xf numFmtId="0" fontId="10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10" fillId="5" borderId="1" xfId="0" applyNumberFormat="1" applyFont="1" applyFill="1" applyBorder="1"/>
    <x:xf numFmtId="0" fontId="10" fillId="5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horizont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4" borderId="0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4" xfId="0" applyNumberFormat="1" applyFont="1" applyFill="1" applyBorder="1"/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4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4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11" fillId="4" borderId="4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/>
    <x:xf numFmtId="0" fontId="11" fillId="4" borderId="5" xfId="0" applyNumberFormat="1" applyFont="1" applyFill="1" applyBorder="1"/>
    <x:xf numFmtId="0" fontId="11" fillId="4" borderId="6" xfId="0" applyNumberFormat="1" applyFont="1" applyFill="1" applyBorder="1"/>
    <x:xf numFmtId="0" fontId="11" fillId="4" borderId="7" xfId="0" applyNumberFormat="1" applyFont="1" applyFill="1" applyBorder="1"/>
    <x:xf numFmtId="0" fontId="11" fillId="4" borderId="5" xfId="0" applyNumberFormat="1" applyFont="1" applyFill="1" applyBorder="1" applyAlignment="1">
      <x:alignment wrapText="1"/>
    </x:xf>
    <x:xf numFmtId="0" fontId="11" fillId="4" borderId="6" xfId="0" applyNumberFormat="1" applyFont="1" applyFill="1" applyBorder="1" applyAlignment="1">
      <x:alignment wrapText="1"/>
    </x:xf>
    <x:xf numFmtId="0" fontId="11" fillId="4" borderId="7" xfId="0" applyNumberFormat="1" applyFont="1" applyFill="1" applyBorder="1" applyAlignment="1">
      <x:alignment wrapText="1"/>
    </x:xf>
    <x:xf numFmtId="0" fontId="11" fillId="4" borderId="5" xfId="0" applyNumberFormat="1" applyFont="1" applyFill="1" applyBorder="1" applyAlignment="1">
      <x:alignment horizontal="center" wrapText="1"/>
    </x:xf>
    <x:xf numFmtId="0" fontId="11" fillId="4" borderId="6" xfId="0" applyNumberFormat="1" applyFont="1" applyFill="1" applyBorder="1" applyAlignment="1">
      <x:alignment horizontal="center" wrapText="1"/>
    </x:xf>
    <x:xf numFmtId="0" fontId="11" fillId="4" borderId="7" xfId="0" applyNumberFormat="1" applyFont="1" applyFill="1" applyBorder="1" applyAlignment="1">
      <x:alignment horizontal="center" wrapText="1"/>
    </x:xf>
    <x:xf numFmtId="0" fontId="11" fillId="4" borderId="5" xfId="0" applyNumberFormat="1" applyFont="1" applyFill="1" applyBorder="1" applyAlignment="1">
      <x:alignment horizontal="center" vertical="center" wrapText="1"/>
    </x:xf>
    <x:xf numFmtId="0" fontId="11" fillId="4" borderId="6" xfId="0" applyNumberFormat="1" applyFont="1" applyFill="1" applyBorder="1" applyAlignment="1">
      <x:alignment horizontal="center" vertical="center" wrapText="1"/>
    </x:xf>
    <x:xf numFmtId="0" fontId="11" fillId="4" borderId="7" xfId="0" applyNumberFormat="1" applyFont="1" applyFill="1" applyBorder="1" applyAlignment="1">
      <x:alignment horizontal="center"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11" xfId="0" applyNumberFormat="1" applyFont="1" applyFill="1" applyBorder="1" applyAlignment="1">
      <x:alignment vertical="center" wrapText="1"/>
    </x:xf>
    <x:xf numFmtId="0" fontId="0" fillId="3" borderId="13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horizontal="center" vertical="center" wrapText="1"/>
    </x:xf>
    <x:xf numFmtId="0" fontId="0" fillId="3" borderId="16" xfId="0" applyNumberFormat="1" applyFont="1" applyFill="1" applyBorder="1" applyAlignment="1">
      <x:alignment vertical="center" wrapText="1"/>
    </x:xf>
    <x:xf numFmtId="0" fontId="0" fillId="3" borderId="19" xfId="0" applyNumberFormat="1" applyFont="1" applyFill="1" applyBorder="1" applyAlignment="1">
      <x:alignment vertical="center" wrapText="1"/>
    </x:xf>
    <x:xf numFmtId="0" fontId="0" fillId="3" borderId="21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horizontal="center" vertical="center" wrapText="1"/>
    </x:xf>
    <x:xf numFmtId="0" fontId="0" fillId="8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14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horizontal="center" vertical="center" wrapText="1"/>
    </x:xf>
    <x:xf numFmtId="0" fontId="8" fillId="8" borderId="28" xfId="0" applyNumberFormat="1" applyFont="1" applyFill="1" applyBorder="1" applyAlignment="1">
      <x:alignment horizontal="center" vertical="center" wrapText="1"/>
    </x:xf>
    <x:xf numFmtId="0" fontId="8" fillId="8" borderId="25" xfId="0" applyNumberFormat="1" applyFont="1" applyFill="1" applyBorder="1" applyAlignment="1">
      <x:alignment horizontal="center" vertical="center" wrapText="1"/>
    </x:xf>
    <x:xf numFmtId="0" fontId="0" fillId="8" borderId="17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8" borderId="22" xfId="0" applyNumberFormat="1" applyFont="1" applyFill="1" applyBorder="1" applyAlignment="1">
      <x:alignment vertical="center" wrapText="1"/>
    </x:xf>
    <x:xf numFmtId="0" fontId="8" fillId="8" borderId="17" xfId="0" applyNumberFormat="1" applyFont="1" applyFill="1" applyBorder="1" applyAlignment="1">
      <x:alignment vertical="center" wrapText="1"/>
    </x:xf>
    <x:xf numFmtId="0" fontId="8" fillId="8" borderId="1" xfId="0" applyNumberFormat="1" applyFont="1" applyFill="1" applyBorder="1" applyAlignment="1">
      <x:alignment vertical="center" wrapText="1"/>
    </x:xf>
    <x:xf numFmtId="0" fontId="8" fillId="8" borderId="22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horizontal="center" vertical="center" wrapText="1"/>
    </x:xf>
    <x:xf numFmtId="0" fontId="8" fillId="8" borderId="29" xfId="0" applyNumberFormat="1" applyFont="1" applyFill="1" applyBorder="1" applyAlignment="1">
      <x:alignment horizontal="center" vertical="center" wrapText="1"/>
    </x:xf>
    <x:xf numFmtId="0" fontId="8" fillId="8" borderId="27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/>
    <x:xf numFmtId="0" fontId="12" fillId="4" borderId="2" xfId="0" applyNumberFormat="1" applyFont="1" applyFill="1" applyBorder="1"/>
    <x:xf numFmtId="0" fontId="12" fillId="4" borderId="3" xfId="0" applyNumberFormat="1" applyFont="1" applyFill="1" applyBorder="1"/>
    <x:xf numFmtId="0" fontId="12" fillId="4" borderId="4" xfId="0" applyNumberFormat="1" applyFont="1" applyFill="1" applyBorder="1"/>
    <x:xf numFmtId="0" fontId="12" fillId="4" borderId="2" xfId="0" applyNumberFormat="1" applyFont="1" applyFill="1" applyBorder="1" applyAlignment="1">
      <x:alignment wrapText="1"/>
    </x:xf>
    <x:xf numFmtId="0" fontId="12" fillId="4" borderId="3" xfId="0" applyNumberFormat="1" applyFont="1" applyFill="1" applyBorder="1" applyAlignment="1">
      <x:alignment wrapText="1"/>
    </x:xf>
    <x:xf numFmtId="0" fontId="12" fillId="4" borderId="4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horizontal="center" wrapText="1"/>
    </x:xf>
    <x:xf numFmtId="0" fontId="12" fillId="4" borderId="3" xfId="0" applyNumberFormat="1" applyFont="1" applyFill="1" applyBorder="1" applyAlignment="1">
      <x:alignment horizontal="center" wrapText="1"/>
    </x:xf>
    <x:xf numFmtId="0" fontId="12" fillId="4" borderId="4" xfId="0" applyNumberFormat="1" applyFont="1" applyFill="1" applyBorder="1" applyAlignment="1">
      <x:alignment horizontal="center" wrapText="1"/>
    </x:xf>
    <x:xf numFmtId="0" fontId="12" fillId="4" borderId="2" xfId="0" applyNumberFormat="1" applyFont="1" applyFill="1" applyBorder="1" applyAlignment="1">
      <x:alignment horizontal="center" vertical="center" wrapText="1"/>
    </x:xf>
    <x:xf numFmtId="0" fontId="12" fillId="4" borderId="3" xfId="0" applyNumberFormat="1" applyFont="1" applyFill="1" applyBorder="1" applyAlignment="1">
      <x:alignment horizontal="center" vertical="center" wrapText="1"/>
    </x:xf>
    <x:xf numFmtId="0" fontId="12" fillId="4" borderId="4" xfId="0" applyNumberFormat="1" applyFont="1" applyFill="1" applyBorder="1" applyAlignment="1">
      <x:alignment horizontal="center" vertical="center" wrapText="1"/>
    </x:xf>
    <x:xf numFmtId="0" fontId="12" fillId="4" borderId="1" xfId="0" applyNumberFormat="1" applyFont="1" applyFill="1" applyBorder="1"/>
    <x:xf numFmtId="0" fontId="12" fillId="4" borderId="5" xfId="0" applyNumberFormat="1" applyFont="1" applyFill="1" applyBorder="1"/>
    <x:xf numFmtId="0" fontId="12" fillId="4" borderId="6" xfId="0" applyNumberFormat="1" applyFont="1" applyFill="1" applyBorder="1"/>
    <x:xf numFmtId="0" fontId="12" fillId="4" borderId="7" xfId="0" applyNumberFormat="1" applyFont="1" applyFill="1" applyBorder="1"/>
    <x:xf numFmtId="0" fontId="12" fillId="4" borderId="5" xfId="0" applyNumberFormat="1" applyFont="1" applyFill="1" applyBorder="1" applyAlignment="1">
      <x:alignment wrapText="1"/>
    </x:xf>
    <x:xf numFmtId="0" fontId="12" fillId="4" borderId="6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wrapText="1"/>
    </x:xf>
    <x:xf numFmtId="0" fontId="12" fillId="4" borderId="5" xfId="0" applyNumberFormat="1" applyFont="1" applyFill="1" applyBorder="1" applyAlignment="1">
      <x:alignment horizontal="center" wrapText="1"/>
    </x:xf>
    <x:xf numFmtId="0" fontId="12" fillId="4" borderId="6" xfId="0" applyNumberFormat="1" applyFont="1" applyFill="1" applyBorder="1" applyAlignment="1">
      <x:alignment horizontal="center" wrapText="1"/>
    </x:xf>
    <x:xf numFmtId="0" fontId="12" fillId="4" borderId="7" xfId="0" applyNumberFormat="1" applyFont="1" applyFill="1" applyBorder="1" applyAlignment="1">
      <x:alignment horizontal="center" wrapText="1"/>
    </x:xf>
    <x:xf numFmtId="0" fontId="12" fillId="4" borderId="5" xfId="0" applyNumberFormat="1" applyFont="1" applyFill="1" applyBorder="1" applyAlignment="1">
      <x:alignment horizontal="center" vertical="center" wrapText="1"/>
    </x:xf>
    <x:xf numFmtId="0" fontId="12" fillId="4" borderId="6" xfId="0" applyNumberFormat="1" applyFont="1" applyFill="1" applyBorder="1" applyAlignment="1">
      <x:alignment horizontal="center" vertical="center" wrapText="1"/>
    </x:xf>
    <x:xf numFmtId="0" fontId="12" fillId="4" borderId="7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10" xfId="0" applyNumberFormat="1" applyFont="1" applyFill="1" applyBorder="1"/>
    <x:xf numFmtId="0" fontId="13" fillId="0" borderId="11" xfId="0" applyNumberFormat="1" applyFont="1" applyFill="1" applyBorder="1"/>
    <x:xf numFmtId="0" fontId="13" fillId="0" borderId="12" xfId="0" applyNumberFormat="1" applyFont="1" applyFill="1" applyBorder="1"/>
    <x:xf numFmtId="0" fontId="13" fillId="0" borderId="13" xfId="0" applyNumberFormat="1" applyFont="1" applyFill="1" applyBorder="1"/>
    <x:xf numFmtId="0" fontId="13" fillId="0" borderId="14" xfId="0" applyNumberFormat="1" applyFont="1" applyFill="1" applyBorder="1"/>
    <x:xf numFmtId="0" fontId="13" fillId="0" borderId="15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10" xfId="0" applyNumberFormat="1" applyFont="1" applyFill="1" applyBorder="1" applyAlignment="1">
      <x:alignment wrapText="1"/>
    </x:xf>
    <x:xf numFmtId="0" fontId="13" fillId="0" borderId="11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3" fillId="0" borderId="12" xfId="0" applyNumberFormat="1" applyFont="1" applyFill="1" applyBorder="1" applyAlignment="1">
      <x:alignment wrapText="1"/>
    </x:xf>
    <x:xf numFmtId="0" fontId="13" fillId="0" borderId="13" xfId="0" applyNumberFormat="1" applyFont="1" applyFill="1" applyBorder="1" applyAlignment="1">
      <x:alignment wrapText="1"/>
    </x:xf>
    <x:xf numFmtId="0" fontId="13" fillId="0" borderId="14" xfId="0" applyNumberFormat="1" applyFont="1" applyFill="1" applyBorder="1" applyAlignment="1">
      <x:alignment wrapText="1"/>
    </x:xf>
    <x:xf numFmtId="0" fontId="13" fillId="0" borderId="15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0" borderId="9" xfId="0" applyNumberFormat="1" applyFont="1" applyFill="1" applyBorder="1" applyAlignment="1">
      <x:alignment vertical="center" wrapText="1"/>
    </x:xf>
    <x:xf numFmtId="0" fontId="13" fillId="0" borderId="10" xfId="0" applyNumberFormat="1" applyFont="1" applyFill="1" applyBorder="1" applyAlignment="1">
      <x:alignment vertical="center" wrapText="1"/>
    </x:xf>
    <x:xf numFmtId="0" fontId="13" fillId="0" borderId="11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 wrapText="1"/>
    </x:xf>
    <x:xf numFmtId="0" fontId="13" fillId="0" borderId="12" xfId="0" applyNumberFormat="1" applyFont="1" applyFill="1" applyBorder="1" applyAlignment="1">
      <x:alignment vertical="center" wrapText="1"/>
    </x:xf>
    <x:xf numFmtId="0" fontId="13" fillId="0" borderId="13" xfId="0" applyNumberFormat="1" applyFont="1" applyFill="1" applyBorder="1" applyAlignment="1">
      <x:alignment vertical="center" wrapText="1"/>
    </x:xf>
    <x:xf numFmtId="0" fontId="13" fillId="0" borderId="14" xfId="0" applyNumberFormat="1" applyFont="1" applyFill="1" applyBorder="1" applyAlignment="1">
      <x:alignment vertical="center" wrapText="1"/>
    </x:xf>
    <x:xf numFmtId="0" fontId="13" fillId="0" borderId="15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/>
    <x:xf numFmtId="0" fontId="13" fillId="0" borderId="16" xfId="0" applyNumberFormat="1" applyFont="1" applyFill="1" applyBorder="1"/>
    <x:xf numFmtId="0" fontId="13" fillId="0" borderId="17" xfId="0" applyNumberFormat="1" applyFont="1" applyFill="1" applyBorder="1"/>
    <x:xf numFmtId="0" fontId="13" fillId="0" borderId="18" xfId="0" applyNumberFormat="1" applyFont="1" applyFill="1" applyBorder="1"/>
    <x:xf numFmtId="0" fontId="13" fillId="0" borderId="19" xfId="0" applyNumberFormat="1" applyFont="1" applyFill="1" applyBorder="1"/>
    <x:xf numFmtId="0" fontId="13" fillId="0" borderId="20" xfId="0" applyNumberFormat="1" applyFont="1" applyFill="1" applyBorder="1"/>
    <x:xf numFmtId="0" fontId="13" fillId="0" borderId="21" xfId="0" applyNumberFormat="1" applyFont="1" applyFill="1" applyBorder="1"/>
    <x:xf numFmtId="0" fontId="13" fillId="0" borderId="22" xfId="0" applyNumberFormat="1" applyFont="1" applyFill="1" applyBorder="1"/>
    <x:xf numFmtId="0" fontId="13" fillId="0" borderId="23" xfId="0" applyNumberFormat="1" applyFont="1" applyFill="1" applyBorder="1"/>
    <x:xf numFmtId="0" fontId="13" fillId="0" borderId="16" xfId="0" applyNumberFormat="1" applyFont="1" applyFill="1" applyBorder="1" applyAlignment="1">
      <x:alignment wrapText="1"/>
    </x:xf>
    <x:xf numFmtId="0" fontId="13" fillId="0" borderId="17" xfId="0" applyNumberFormat="1" applyFont="1" applyFill="1" applyBorder="1" applyAlignment="1">
      <x:alignment wrapText="1"/>
    </x:xf>
    <x:xf numFmtId="0" fontId="13" fillId="0" borderId="18" xfId="0" applyNumberFormat="1" applyFont="1" applyFill="1" applyBorder="1" applyAlignment="1">
      <x:alignment wrapText="1"/>
    </x:xf>
    <x:xf numFmtId="0" fontId="13" fillId="0" borderId="19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wrapText="1"/>
    </x:xf>
    <x:xf numFmtId="0" fontId="13" fillId="0" borderId="20" xfId="0" applyNumberFormat="1" applyFont="1" applyFill="1" applyBorder="1" applyAlignment="1">
      <x:alignment wrapText="1"/>
    </x:xf>
    <x:xf numFmtId="0" fontId="13" fillId="0" borderId="21" xfId="0" applyNumberFormat="1" applyFont="1" applyFill="1" applyBorder="1" applyAlignment="1">
      <x:alignment wrapText="1"/>
    </x:xf>
    <x:xf numFmtId="0" fontId="13" fillId="0" borderId="22" xfId="0" applyNumberFormat="1" applyFont="1" applyFill="1" applyBorder="1" applyAlignment="1">
      <x:alignment wrapText="1"/>
    </x:xf>
    <x:xf numFmtId="0" fontId="13" fillId="0" borderId="23" xfId="0" applyNumberFormat="1" applyFont="1" applyFill="1" applyBorder="1" applyAlignment="1">
      <x:alignment wrapText="1"/>
    </x:xf>
    <x:xf numFmtId="0" fontId="13" fillId="0" borderId="16" xfId="0" applyNumberFormat="1" applyFont="1" applyFill="1" applyBorder="1" applyAlignment="1">
      <x:alignment vertical="center" wrapText="1"/>
    </x:xf>
    <x:xf numFmtId="0" fontId="13" fillId="0" borderId="17" xfId="0" applyNumberFormat="1" applyFont="1" applyFill="1" applyBorder="1" applyAlignment="1">
      <x:alignment vertical="center" wrapText="1"/>
    </x:xf>
    <x:xf numFmtId="0" fontId="13" fillId="0" borderId="18" xfId="0" applyNumberFormat="1" applyFont="1" applyFill="1" applyBorder="1" applyAlignment="1">
      <x:alignment vertical="center" wrapText="1"/>
    </x:xf>
    <x:xf numFmtId="0" fontId="13" fillId="0" borderId="19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 applyAlignment="1">
      <x:alignment vertical="center" wrapText="1"/>
    </x:xf>
    <x:xf numFmtId="0" fontId="13" fillId="0" borderId="20" xfId="0" applyNumberFormat="1" applyFont="1" applyFill="1" applyBorder="1" applyAlignment="1">
      <x:alignment vertical="center" wrapText="1"/>
    </x:xf>
    <x:xf numFmtId="0" fontId="13" fillId="0" borderId="21" xfId="0" applyNumberFormat="1" applyFont="1" applyFill="1" applyBorder="1" applyAlignment="1">
      <x:alignment vertical="center" wrapText="1"/>
    </x:xf>
    <x:xf numFmtId="0" fontId="13" fillId="0" borderId="22" xfId="0" applyNumberFormat="1" applyFont="1" applyFill="1" applyBorder="1" applyAlignment="1">
      <x:alignment vertical="center" wrapText="1"/>
    </x:xf>
    <x:xf numFmtId="0" fontId="13" fillId="0" borderId="23" xfId="0" applyNumberFormat="1" applyFont="1" applyFill="1" applyBorder="1" applyAlignment="1">
      <x:alignment vertical="center" wrapText="1"/>
    </x:xf>
    <x:xf numFmtId="0" fontId="13" fillId="5" borderId="8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vertical="center" wrapText="1"/>
    </x:xf>
    <x:xf numFmtId="0" fontId="13" fillId="5" borderId="10" xfId="0" applyNumberFormat="1" applyFont="1" applyFill="1" applyBorder="1" applyAlignment="1">
      <x:alignment vertical="center" wrapText="1"/>
    </x:xf>
    <x:xf numFmtId="0" fontId="13" fillId="5" borderId="16" xfId="0" applyNumberFormat="1" applyFont="1" applyFill="1" applyBorder="1" applyAlignment="1">
      <x:alignment vertical="center" wrapText="1"/>
    </x:xf>
    <x:xf numFmtId="0" fontId="13" fillId="5" borderId="17" xfId="0" applyNumberFormat="1" applyFont="1" applyFill="1" applyBorder="1" applyAlignment="1">
      <x:alignment vertical="center" wrapText="1"/>
    </x:xf>
    <x:xf numFmtId="0" fontId="13" fillId="5" borderId="18" xfId="0" applyNumberFormat="1" applyFont="1" applyFill="1" applyBorder="1" applyAlignment="1">
      <x:alignment vertical="center" wrapText="1"/>
    </x:xf>
    <x:xf numFmtId="0" fontId="13" fillId="6" borderId="11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12" xfId="0" applyNumberFormat="1" applyFont="1" applyFill="1" applyBorder="1" applyAlignment="1">
      <x:alignment vertical="center" wrapText="1"/>
    </x:xf>
    <x:xf numFmtId="0" fontId="13" fillId="6" borderId="19" xfId="0" applyNumberFormat="1" applyFont="1" applyFill="1" applyBorder="1" applyAlignment="1">
      <x:alignment vertical="center" wrapText="1"/>
    </x:xf>
    <x:xf numFmtId="0" fontId="13" fillId="6" borderId="1" xfId="0" applyNumberFormat="1" applyFont="1" applyFill="1" applyBorder="1" applyAlignment="1">
      <x:alignment vertical="center" wrapText="1"/>
    </x:xf>
    <x:xf numFmtId="0" fontId="13" fillId="6" borderId="20" xfId="0" applyNumberFormat="1" applyFont="1" applyFill="1" applyBorder="1" applyAlignment="1">
      <x:alignment vertical="center" wrapText="1"/>
    </x:xf>
    <x:xf numFmtId="0" fontId="13" fillId="5" borderId="11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12" xfId="0" applyNumberFormat="1" applyFont="1" applyFill="1" applyBorder="1" applyAlignment="1">
      <x:alignment vertical="center" wrapText="1"/>
    </x:xf>
    <x:xf numFmtId="0" fontId="13" fillId="5" borderId="19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3" fillId="5" borderId="20" xfId="0" applyNumberFormat="1" applyFont="1" applyFill="1" applyBorder="1" applyAlignment="1">
      <x:alignment vertical="center" wrapText="1"/>
    </x:xf>
    <x:xf numFmtId="0" fontId="13" fillId="6" borderId="13" xfId="0" applyNumberFormat="1" applyFont="1" applyFill="1" applyBorder="1" applyAlignment="1">
      <x:alignment vertical="center" wrapText="1"/>
    </x:xf>
    <x:xf numFmtId="0" fontId="13" fillId="6" borderId="14" xfId="0" applyNumberFormat="1" applyFont="1" applyFill="1" applyBorder="1" applyAlignment="1">
      <x:alignment vertical="center" wrapText="1"/>
    </x:xf>
    <x:xf numFmtId="0" fontId="13" fillId="6" borderId="15" xfId="0" applyNumberFormat="1" applyFont="1" applyFill="1" applyBorder="1" applyAlignment="1">
      <x:alignment vertical="center" wrapText="1"/>
    </x:xf>
    <x:xf numFmtId="0" fontId="13" fillId="6" borderId="21" xfId="0" applyNumberFormat="1" applyFont="1" applyFill="1" applyBorder="1" applyAlignment="1">
      <x:alignment vertical="center" wrapText="1"/>
    </x:xf>
    <x:xf numFmtId="0" fontId="13" fillId="6" borderId="22" xfId="0" applyNumberFormat="1" applyFont="1" applyFill="1" applyBorder="1" applyAlignment="1">
      <x:alignment vertical="center" wrapText="1"/>
    </x:xf>
    <x:xf numFmtId="0" fontId="13" fillId="6" borderId="23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horizontal="center" vertical="center" wrapText="1"/>
    </x:xf>
    <x:xf numFmtId="0" fontId="13" fillId="6" borderId="0" xfId="0" applyNumberFormat="1" applyFont="1" applyFill="1" applyBorder="1" applyAlignment="1">
      <x:alignment horizontal="center" vertical="center" wrapText="1"/>
    </x:xf>
    <x:xf numFmtId="0" fontId="13" fillId="5" borderId="0" xfId="0" applyNumberFormat="1" applyFont="1" applyFill="1" applyBorder="1" applyAlignment="1">
      <x:alignment horizontal="center" vertical="center" wrapText="1"/>
    </x:xf>
    <x:xf numFmtId="0" fontId="13" fillId="6" borderId="14" xfId="0" applyNumberFormat="1" applyFont="1" applyFill="1" applyBorder="1" applyAlignment="1">
      <x:alignment horizontal="center" vertical="center" wrapText="1"/>
    </x:xf>
    <x:xf numFmtId="0" fontId="13" fillId="5" borderId="17" xfId="0" applyNumberFormat="1" applyFont="1" applyFill="1" applyBorder="1" applyAlignment="1">
      <x:alignment horizontal="center" vertical="center" wrapText="1"/>
    </x:xf>
    <x:xf numFmtId="0" fontId="13" fillId="6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6" borderId="22" xfId="0" applyNumberFormat="1" applyFont="1" applyFill="1" applyBorder="1" applyAlignment="1">
      <x:alignment horizontal="center" vertical="center" wrapText="1"/>
    </x:xf>
    <x:xf numFmtId="201" fontId="13" fillId="5" borderId="9" xfId="0" applyNumberFormat="1" applyFont="1" applyFill="1" applyBorder="1" applyAlignment="1">
      <x:alignment vertical="center" wrapText="1"/>
    </x:xf>
    <x:xf numFmtId="201" fontId="13" fillId="6" borderId="0" xfId="0" applyNumberFormat="1" applyFont="1" applyFill="1" applyBorder="1" applyAlignment="1">
      <x:alignment vertical="center" wrapText="1"/>
    </x:xf>
    <x:xf numFmtId="201" fontId="13" fillId="5" borderId="0" xfId="0" applyNumberFormat="1" applyFont="1" applyFill="1" applyBorder="1" applyAlignment="1">
      <x:alignment vertical="center" wrapText="1"/>
    </x:xf>
    <x:xf numFmtId="201" fontId="13" fillId="6" borderId="14" xfId="0" applyNumberFormat="1" applyFont="1" applyFill="1" applyBorder="1" applyAlignment="1">
      <x:alignment vertical="center" wrapText="1"/>
    </x:xf>
    <x:xf numFmtId="201" fontId="13" fillId="5" borderId="17" xfId="0" applyNumberFormat="1" applyFont="1" applyFill="1" applyBorder="1" applyAlignment="1">
      <x:alignment vertical="center" wrapText="1"/>
    </x:xf>
    <x:xf numFmtId="201" fontId="13" fillId="6" borderId="1" xfId="0" applyNumberFormat="1" applyFont="1" applyFill="1" applyBorder="1" applyAlignment="1">
      <x:alignment vertical="center" wrapText="1"/>
    </x:xf>
    <x:xf numFmtId="201" fontId="13" fillId="5" borderId="1" xfId="0" applyNumberFormat="1" applyFont="1" applyFill="1" applyBorder="1" applyAlignment="1">
      <x:alignment vertical="center" wrapText="1"/>
    </x:xf>
    <x:xf numFmtId="201" fontId="13" fillId="6" borderId="22" xfId="0" applyNumberFormat="1" applyFont="1" applyFill="1" applyBorder="1" applyAlignment="1">
      <x:alignment vertical="center" wrapText="1"/>
    </x:xf>
    <x:xf numFmtId="202" fontId="13" fillId="5" borderId="9" xfId="0" applyNumberFormat="1" applyFont="1" applyFill="1" applyBorder="1" applyAlignment="1">
      <x:alignment vertical="center" wrapText="1"/>
    </x:xf>
    <x:xf numFmtId="202" fontId="13" fillId="6" borderId="0" xfId="0" applyNumberFormat="1" applyFont="1" applyFill="1" applyBorder="1" applyAlignment="1">
      <x:alignment vertical="center" wrapText="1"/>
    </x:xf>
    <x:xf numFmtId="202" fontId="13" fillId="5" borderId="0" xfId="0" applyNumberFormat="1" applyFont="1" applyFill="1" applyBorder="1" applyAlignment="1">
      <x:alignment vertical="center" wrapText="1"/>
    </x:xf>
    <x:xf numFmtId="202" fontId="13" fillId="6" borderId="14" xfId="0" applyNumberFormat="1" applyFont="1" applyFill="1" applyBorder="1" applyAlignment="1">
      <x:alignment vertical="center" wrapText="1"/>
    </x:xf>
    <x:xf numFmtId="202" fontId="13" fillId="5" borderId="17" xfId="0" applyNumberFormat="1" applyFont="1" applyFill="1" applyBorder="1" applyAlignment="1">
      <x:alignment vertical="center" wrapText="1"/>
    </x:xf>
    <x:xf numFmtId="202" fontId="13" fillId="6" borderId="1" xfId="0" applyNumberFormat="1" applyFont="1" applyFill="1" applyBorder="1" applyAlignment="1">
      <x:alignment vertical="center" wrapText="1"/>
    </x:xf>
    <x:xf numFmtId="202" fontId="13" fillId="5" borderId="1" xfId="0" applyNumberFormat="1" applyFont="1" applyFill="1" applyBorder="1" applyAlignment="1">
      <x:alignment vertical="center" wrapText="1"/>
    </x:xf>
    <x:xf numFmtId="202" fontId="13" fillId="6" borderId="22" xfId="0" applyNumberFormat="1" applyFont="1" applyFill="1" applyBorder="1" applyAlignment="1">
      <x:alignment vertical="center" wrapText="1"/>
    </x:xf>
    <x:xf numFmtId="200" fontId="13" fillId="5" borderId="9" xfId="0" applyNumberFormat="1" applyFont="1" applyFill="1" applyBorder="1" applyAlignment="1">
      <x:alignment vertical="center" wrapText="1"/>
    </x:xf>
    <x:xf numFmtId="200" fontId="13" fillId="6" borderId="0" xfId="0" applyNumberFormat="1" applyFont="1" applyFill="1" applyBorder="1" applyAlignment="1">
      <x:alignment vertical="center" wrapText="1"/>
    </x:xf>
    <x:xf numFmtId="200" fontId="13" fillId="5" borderId="0" xfId="0" applyNumberFormat="1" applyFont="1" applyFill="1" applyBorder="1" applyAlignment="1">
      <x:alignment vertical="center" wrapText="1"/>
    </x:xf>
    <x:xf numFmtId="200" fontId="13" fillId="6" borderId="14" xfId="0" applyNumberFormat="1" applyFont="1" applyFill="1" applyBorder="1" applyAlignment="1">
      <x:alignment vertical="center" wrapText="1"/>
    </x:xf>
    <x:xf numFmtId="200" fontId="13" fillId="5" borderId="17" xfId="0" applyNumberFormat="1" applyFont="1" applyFill="1" applyBorder="1" applyAlignment="1">
      <x:alignment vertical="center" wrapText="1"/>
    </x:xf>
    <x:xf numFmtId="200" fontId="13" fillId="6" borderId="1" xfId="0" applyNumberFormat="1" applyFont="1" applyFill="1" applyBorder="1" applyAlignment="1">
      <x:alignment vertical="center" wrapText="1"/>
    </x:xf>
    <x:xf numFmtId="200" fontId="13" fillId="5" borderId="1" xfId="0" applyNumberFormat="1" applyFont="1" applyFill="1" applyBorder="1" applyAlignment="1">
      <x:alignment vertical="center" wrapText="1"/>
    </x:xf>
    <x:xf numFmtId="200" fontId="13" fillId="6" borderId="22" xfId="0" applyNumberFormat="1" applyFont="1" applyFill="1" applyBorder="1" applyAlignment="1">
      <x:alignment vertical="center" wrapText="1"/>
    </x:xf>
    <x:xf numFmtId="203" fontId="13" fillId="5" borderId="10" xfId="0" applyNumberFormat="1" applyFont="1" applyFill="1" applyBorder="1" applyAlignment="1">
      <x:alignment vertical="center" wrapText="1"/>
    </x:xf>
    <x:xf numFmtId="203" fontId="13" fillId="6" borderId="12" xfId="0" applyNumberFormat="1" applyFont="1" applyFill="1" applyBorder="1" applyAlignment="1">
      <x:alignment vertical="center" wrapText="1"/>
    </x:xf>
    <x:xf numFmtId="203" fontId="13" fillId="5" borderId="12" xfId="0" applyNumberFormat="1" applyFont="1" applyFill="1" applyBorder="1" applyAlignment="1">
      <x:alignment vertical="center" wrapText="1"/>
    </x:xf>
    <x:xf numFmtId="203" fontId="13" fillId="6" borderId="15" xfId="0" applyNumberFormat="1" applyFont="1" applyFill="1" applyBorder="1" applyAlignment="1">
      <x:alignment vertical="center" wrapText="1"/>
    </x:xf>
    <x:xf numFmtId="202" fontId="13" fillId="5" borderId="9" xfId="0" applyNumberFormat="1" applyFont="1" applyFill="1" applyBorder="1" applyAlignment="1">
      <x:alignment horizontal="center" vertical="center" wrapText="1"/>
    </x:xf>
    <x:xf numFmtId="202" fontId="13" fillId="6" borderId="0" xfId="0" applyNumberFormat="1" applyFont="1" applyFill="1" applyBorder="1" applyAlignment="1">
      <x:alignment horizontal="center" vertical="center" wrapText="1"/>
    </x:xf>
    <x:xf numFmtId="202" fontId="13" fillId="5" borderId="0" xfId="0" applyNumberFormat="1" applyFont="1" applyFill="1" applyBorder="1" applyAlignment="1">
      <x:alignment horizontal="center" vertical="center" wrapText="1"/>
    </x:xf>
    <x:xf numFmtId="202" fontId="13" fillId="6" borderId="14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horizontal="center"/>
    </x:xf>
    <x:xf numFmtId="0" fontId="14" fillId="1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30" xfId="0" applyNumberFormat="1" applyFont="1" applyFill="1" applyBorder="1"/>
    <x:xf numFmtId="0" fontId="3" fillId="12" borderId="31" xfId="0" applyNumberFormat="1" applyFont="1" applyFill="1" applyBorder="1"/>
    <x:xf numFmtId="0" fontId="3" fillId="12" borderId="32" xfId="0" applyNumberFormat="1" applyFont="1" applyFill="1" applyBorder="1"/>
    <x:xf numFmtId="0" fontId="3" fillId="12" borderId="30" xfId="0" applyNumberFormat="1" applyFont="1" applyFill="1" applyBorder="1" applyAlignment="1">
      <x:alignment wrapText="1"/>
    </x:xf>
    <x:xf numFmtId="0" fontId="3" fillId="12" borderId="31" xfId="0" applyNumberFormat="1" applyFont="1" applyFill="1" applyBorder="1" applyAlignment="1">
      <x:alignment wrapText="1"/>
    </x:xf>
    <x:xf numFmtId="0" fontId="3" fillId="12" borderId="32" xfId="0" applyNumberFormat="1" applyFont="1" applyFill="1" applyBorder="1" applyAlignment="1">
      <x:alignment wrapText="1"/>
    </x:xf>
    <x:xf numFmtId="0" fontId="3" fillId="12" borderId="30" xfId="0" applyNumberFormat="1" applyFont="1" applyFill="1" applyBorder="1" applyAlignment="1">
      <x:alignment horizontal="center" wrapText="1"/>
    </x:xf>
    <x:xf numFmtId="0" fontId="3" fillId="12" borderId="31" xfId="0" applyNumberFormat="1" applyFont="1" applyFill="1" applyBorder="1" applyAlignment="1">
      <x:alignment horizontal="center" wrapText="1"/>
    </x:xf>
    <x:xf numFmtId="0" fontId="3" fillId="12" borderId="32" xfId="0" applyNumberFormat="1" applyFont="1" applyFill="1" applyBorder="1" applyAlignment="1">
      <x:alignment horizontal="center" wrapText="1"/>
    </x:xf>
    <x:xf numFmtId="0" fontId="3" fillId="12" borderId="30" xfId="0" applyNumberFormat="1" applyFont="1" applyFill="1" applyBorder="1" applyAlignment="1">
      <x:alignment horizontal="center" vertical="center" wrapText="1"/>
    </x:xf>
    <x:xf numFmtId="0" fontId="3" fillId="12" borderId="31" xfId="0" applyNumberFormat="1" applyFont="1" applyFill="1" applyBorder="1" applyAlignment="1">
      <x:alignment horizontal="center" vertical="center" wrapText="1"/>
    </x:xf>
    <x:xf numFmtId="0" fontId="3" fillId="12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xfId="0" applyNumberFormat="1" applyFont="1" applyFill="1" applyBorder="0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center" wrapText="1"/>
    </x:xf>
    <x:xf numFmtId="0" fontId="0" fillId="0" borderId="34" xfId="0" applyNumberFormat="1" applyFont="1" applyFill="1" applyBorder="1" applyAlignment="1">
      <x:alignment vertical="center" wrapText="1"/>
    </x:xf>
    <x:xf numFmtId="0" fontId="0" fillId="0" borderId="35" xfId="0" applyNumberFormat="1" applyFont="1" applyFill="1" applyBorder="1" applyAlignment="1">
      <x:alignment vertical="center" wrapText="1"/>
    </x:xf>
    <x:xf numFmtId="0" fontId="0" fillId="0" borderId="36" xfId="0" applyNumberFormat="1" applyFont="1" applyFill="1" applyBorder="1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37" xfId="0" applyNumberFormat="1" applyFont="1" applyFill="1" applyBorder="1" applyAlignment="1">
      <x:alignment vertical="center" wrapText="1"/>
    </x:xf>
    <x:xf numFmtId="0" fontId="0" fillId="0" borderId="38" xfId="0" applyNumberFormat="1" applyFont="1" applyFill="1" applyBorder="1" applyAlignment="1">
      <x:alignment vertical="center" wrapText="1"/>
    </x:xf>
    <x:xf numFmtId="0" fontId="0" fillId="0" borderId="39" xfId="0" applyNumberFormat="1" applyFont="1" applyFill="1" applyBorder="1" applyAlignment="1">
      <x:alignment vertical="center" wrapText="1"/>
    </x:xf>
    <x:xf numFmtId="0" fontId="0" fillId="0" borderId="40" xfId="0" applyNumberFormat="1" applyFont="1" applyFill="1" applyBorder="1" applyAlignment="1">
      <x:alignment vertical="center" wrapText="1"/>
    </x:xf>
    <x:xf numFmtId="0" fontId="0" fillId="13" borderId="33" xfId="0" applyNumberFormat="1" applyFont="1" applyFill="1" applyBorder="1" applyAlignment="1">
      <x:alignment vertical="center" wrapText="1"/>
    </x:xf>
    <x:xf numFmtId="0" fontId="0" fillId="13" borderId="34" xfId="0" applyNumberFormat="1" applyFont="1" applyFill="1" applyBorder="1" applyAlignment="1">
      <x:alignment vertical="center" wrapText="1"/>
    </x:xf>
    <x:xf numFmtId="0" fontId="0" fillId="13" borderId="35" xfId="0" applyNumberFormat="1" applyFont="1" applyFill="1" applyBorder="1" applyAlignment="1">
      <x:alignment vertical="center" wrapText="1"/>
    </x:xf>
    <x:xf numFmtId="0" fontId="0" fillId="13" borderId="36" xfId="0" applyNumberFormat="1" applyFont="1" applyFill="1" applyBorder="1" applyAlignment="1">
      <x:alignment vertical="center" wrapText="1"/>
    </x:xf>
    <x:xf numFmtId="0" fontId="0" fillId="13" xfId="0" applyNumberFormat="1" applyFont="1" applyFill="1" applyBorder="0" applyAlignment="1">
      <x:alignment vertical="center" wrapText="1"/>
    </x:xf>
    <x:xf numFmtId="0" fontId="0" fillId="13" borderId="3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991B1B"/>
      </x:font>
      <x:fill>
        <x:patternFill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a6cdb8f21b41b7" /><Relationship Type="http://schemas.openxmlformats.org/officeDocument/2006/relationships/theme" Target="/xl/theme/theme1.xml" Id="R56910840b6964d70" /><Relationship Type="http://schemas.openxmlformats.org/officeDocument/2006/relationships/sharedStrings" Target="/xl/sharedStrings.xml" Id="Rafac8cafbf764415" /><Relationship Type="http://schemas.openxmlformats.org/officeDocument/2006/relationships/worksheet" Target="/xl/worksheets/sheet1.xml" Id="R444fba9695034f88" /><Relationship Type="http://schemas.openxmlformats.org/officeDocument/2006/relationships/worksheet" Target="/xl/worksheets/sheet2.xml" Id="Raa19e9492bfe4927" /><Relationship Type="http://schemas.openxmlformats.org/officeDocument/2006/relationships/worksheet" Target="/xl/worksheets/sheet3.xml" Id="R3e84449ea3704a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14" hidden="0" customWidth="1"/>
    <x:col min="5" max="5" width="34" hidden="0" customWidth="1"/>
    <x:col min="6" max="6" width="20" hidden="0" customWidth="1"/>
  </x:cols>
  <x:sheetData>
    <x:row r="1" ht="28" customHeight="1">
      <x:c r="A1" s="5" t="str">
        <x:v>Vendor Library</x:v>
      </x:c>
      <x:c r="B1" s="5"/>
      <x:c r="C1" s="5"/>
      <x:c r="D1" s="5"/>
      <x:c r="E1" s="5"/>
      <x:c r="F1" s="5"/>
    </x:row>
    <x:row r="2" ht="38" customHeight="1">
      <x:c r="A2" s="13" t="str">
        <x:v>Vendor catalogue for early-stage technology screening. Vendor ID identifies the vendor and repeats when the same vendor offers multiple Technology IDs. Sheet 2 controls the calculation logic used by the HTML.</x:v>
      </x:c>
      <x:c r="B2" s="13"/>
      <x:c r="C2" s="13"/>
      <x:c r="D2" s="13"/>
      <x:c r="E2" s="13"/>
      <x:c r="F2" s="13"/>
    </x:row>
    <x:row r="3" ht="36" customHeight="1">
      <x:c r="A3" s="29" t="str">
        <x:v>Vendor Name</x:v>
      </x:c>
      <x:c r="B3" s="30" t="str">
        <x:v>Website</x:v>
      </x:c>
      <x:c r="C3" s="30" t="str">
        <x:v>Vendor ID</x:v>
      </x:c>
      <x:c r="D3" s="30" t="str">
        <x:v>Technology ID</x:v>
      </x:c>
      <x:c r="E3" s="30" t="str">
        <x:v>Technology Name</x:v>
      </x:c>
      <x:c r="F3" s="31" t="str">
        <x:v>Vendor Minimum Budget</x:v>
      </x:c>
    </x:row>
    <x:row r="4">
      <x:c r="A4" s="100" t="str">
        <x:v>Daifuku</x:v>
      </x:c>
      <x:c r="B4" s="101" t="str">
        <x:v>https://www.daifuku.com/</x:v>
      </x:c>
      <x:c r="C4" s="101" t="str">
        <x:v>VEND001</x:v>
      </x:c>
      <x:c r="D4" s="101" t="str">
        <x:v>TECH003</x:v>
      </x:c>
      <x:c r="E4" s="101" t="str">
        <x:v>Pallet ASRS</x:v>
      </x:c>
      <x:c r="F4" s="124" t="n">
        <x:v>3000000</x:v>
      </x:c>
    </x:row>
    <x:row r="5">
      <x:c r="A5" s="106" t="str">
        <x:v>Dematic</x:v>
      </x:c>
      <x:c r="B5" s="107" t="str">
        <x:v>https://www.dematic.com/</x:v>
      </x:c>
      <x:c r="C5" s="107" t="str">
        <x:v>VEND002</x:v>
      </x:c>
      <x:c r="D5" s="107" t="str">
        <x:v>TECH003</x:v>
      </x:c>
      <x:c r="E5" s="107" t="str">
        <x:v>Pallet ASRS</x:v>
      </x:c>
      <x:c r="F5" s="125" t="n">
        <x:v>3000000</x:v>
      </x:c>
    </x:row>
    <x:row r="6">
      <x:c r="A6" s="112" t="str">
        <x:v>SSI Schaefer</x:v>
      </x:c>
      <x:c r="B6" s="113" t="str">
        <x:v>https://www.ssi-schaefer.com/en-asia</x:v>
      </x:c>
      <x:c r="C6" s="113" t="str">
        <x:v>VEND003</x:v>
      </x:c>
      <x:c r="D6" s="113" t="str">
        <x:v>TECH006</x:v>
      </x:c>
      <x:c r="E6" s="113" t="str">
        <x:v>Pallet Shuttle</x:v>
      </x:c>
      <x:c r="F6" s="126" t="n">
        <x:v>800000</x:v>
      </x:c>
    </x:row>
    <x:row r="7">
      <x:c r="A7" s="106" t="str">
        <x:v>HWA Robotics</x:v>
      </x:c>
      <x:c r="B7" s="107" t="str">
        <x:v>https://www.hwarobotics.com/</x:v>
      </x:c>
      <x:c r="C7" s="107" t="str">
        <x:v>VEND004</x:v>
      </x:c>
      <x:c r="D7" s="107" t="str">
        <x:v>TECH004</x:v>
      </x:c>
      <x:c r="E7" s="107" t="str">
        <x:v>4-Way Shuttle</x:v>
      </x:c>
      <x:c r="F7" s="125" t="n">
        <x:v>2500000</x:v>
      </x:c>
    </x:row>
    <x:row r="8">
      <x:c r="A8" s="112" t="str">
        <x:v>Jungheinrich</x:v>
      </x:c>
      <x:c r="B8" s="113" t="str">
        <x:v>https://www.jungheinrich.com/</x:v>
      </x:c>
      <x:c r="C8" s="113" t="str">
        <x:v>VEND005</x:v>
      </x:c>
      <x:c r="D8" s="113" t="str">
        <x:v>TECH007</x:v>
      </x:c>
      <x:c r="E8" s="113" t="str">
        <x:v>VNA / Autonomous Reach Truck</x:v>
      </x:c>
      <x:c r="F8" s="126" t="n">
        <x:v>250000</x:v>
      </x:c>
    </x:row>
    <x:row r="9">
      <x:c r="A9" s="106" t="str">
        <x:v>Kardex</x:v>
      </x:c>
      <x:c r="B9" s="107" t="str">
        <x:v>https://www.kardex.com/</x:v>
      </x:c>
      <x:c r="C9" s="107" t="str">
        <x:v>VEND006</x:v>
      </x:c>
      <x:c r="D9" s="107" t="str">
        <x:v>TECH008</x:v>
      </x:c>
      <x:c r="E9" s="107" t="str">
        <x:v>Vertical Lift Module</x:v>
      </x:c>
      <x:c r="F9" s="125" t="n">
        <x:v>250000</x:v>
      </x:c>
    </x:row>
    <x:row r="10">
      <x:c r="A10" s="112" t="str">
        <x:v>Modula</x:v>
      </x:c>
      <x:c r="B10" s="113" t="str">
        <x:v>https://www.modula.eu/</x:v>
      </x:c>
      <x:c r="C10" s="113" t="str">
        <x:v>VEND007</x:v>
      </x:c>
      <x:c r="D10" s="113" t="str">
        <x:v>TECH008</x:v>
      </x:c>
      <x:c r="E10" s="113" t="str">
        <x:v>Vertical Lift Module</x:v>
      </x:c>
      <x:c r="F10" s="126" t="n">
        <x:v>250000</x:v>
      </x:c>
    </x:row>
    <x:row r="11">
      <x:c r="A11" s="106" t="str">
        <x:v>Daifuku</x:v>
      </x:c>
      <x:c r="B11" s="107" t="str">
        <x:v>https://www.daifuku.com/</x:v>
      </x:c>
      <x:c r="C11" s="107" t="str">
        <x:v>VEND001</x:v>
      </x:c>
      <x:c r="D11" s="107" t="str">
        <x:v>TECH002</x:v>
      </x:c>
      <x:c r="E11" s="107" t="str">
        <x:v>Miniload ASRS</x:v>
      </x:c>
      <x:c r="F11" s="125" t="n">
        <x:v>1500000</x:v>
      </x:c>
    </x:row>
    <x:row r="12">
      <x:c r="A12" s="112" t="str">
        <x:v>SSI Schaefer</x:v>
      </x:c>
      <x:c r="B12" s="113" t="str">
        <x:v>https://www.ssi-schaefer.com/en-asia</x:v>
      </x:c>
      <x:c r="C12" s="113" t="str">
        <x:v>VEND003</x:v>
      </x:c>
      <x:c r="D12" s="113" t="str">
        <x:v>TECH002</x:v>
      </x:c>
      <x:c r="E12" s="113" t="str">
        <x:v>Miniload ASRS</x:v>
      </x:c>
      <x:c r="F12" s="126" t="n">
        <x:v>1500000</x:v>
      </x:c>
    </x:row>
    <x:row r="13">
      <x:c r="A13" s="106" t="str">
        <x:v>AutoStore</x:v>
      </x:c>
      <x:c r="B13" s="107" t="str">
        <x:v>https://www.autostoresystem.com/</x:v>
      </x:c>
      <x:c r="C13" s="107" t="str">
        <x:v>VEND008</x:v>
      </x:c>
      <x:c r="D13" s="107" t="str">
        <x:v>TECH001</x:v>
      </x:c>
      <x:c r="E13" s="107" t="str">
        <x:v>Cube Storage System</x:v>
      </x:c>
      <x:c r="F13" s="125" t="n">
        <x:v>1800000</x:v>
      </x:c>
    </x:row>
    <x:row r="14">
      <x:c r="A14" s="112" t="str">
        <x:v>Hai Robotics</x:v>
      </x:c>
      <x:c r="B14" s="113" t="str">
        <x:v>https://www.hairobotics.com/</x:v>
      </x:c>
      <x:c r="C14" s="113" t="str">
        <x:v>VEND009</x:v>
      </x:c>
      <x:c r="D14" s="113" t="str">
        <x:v>TECH009</x:v>
      </x:c>
      <x:c r="E14" s="113" t="str">
        <x:v>Tote Bin-to-Person Robotics</x:v>
      </x:c>
      <x:c r="F14" s="126" t="n">
        <x:v>1200000</x:v>
      </x:c>
    </x:row>
    <x:row r="15">
      <x:c r="A15" s="106" t="str">
        <x:v>Libiao Robotics</x:v>
      </x:c>
      <x:c r="B15" s="107" t="str">
        <x:v>https://www.libiaorobot.com/</x:v>
      </x:c>
      <x:c r="C15" s="107" t="str">
        <x:v>VEND010</x:v>
      </x:c>
      <x:c r="D15" s="107" t="str">
        <x:v>TECH010</x:v>
      </x:c>
      <x:c r="E15" s="107" t="str">
        <x:v>Rack-Based Tote Handling System (AirRob-type)</x:v>
      </x:c>
      <x:c r="F15" s="125" t="n">
        <x:v>800000</x:v>
      </x:c>
    </x:row>
    <x:row r="16">
      <x:c r="A16" s="112" t="str">
        <x:v>Geek+</x:v>
      </x:c>
      <x:c r="B16" s="113" t="str">
        <x:v>https://www.geekplus.com/</x:v>
      </x:c>
      <x:c r="C16" s="113" t="str">
        <x:v>VEND011</x:v>
      </x:c>
      <x:c r="D16" s="113" t="str">
        <x:v>TECH005</x:v>
      </x:c>
      <x:c r="E16" s="113" t="str">
        <x:v>AMR Goods-to-Person</x:v>
      </x:c>
      <x:c r="F16" s="126" t="n">
        <x:v>350000</x:v>
      </x:c>
    </x:row>
    <x:row r="17">
      <x:c r="A17" s="118" t="str">
        <x:v>Quicktron</x:v>
      </x:c>
      <x:c r="B17" s="119" t="str">
        <x:v>https://www.quicktron.com/</x:v>
      </x:c>
      <x:c r="C17" s="119" t="str">
        <x:v>VEND012</x:v>
      </x:c>
      <x:c r="D17" s="119" t="str">
        <x:v>TECH005</x:v>
      </x:c>
      <x:c r="E17" s="119" t="str">
        <x:v>AMR Goods-to-Person</x:v>
      </x:c>
      <x:c r="F17" s="127" t="n">
        <x:v>350000</x:v>
      </x:c>
    </x:row>
  </x:sheetData>
  <x:mergeCells>
    <x:mergeCell ref="A1:F1"/>
    <x:mergeCell ref="A2:F2"/>
  </x:mergeCells>
  <x:dataValidations count="1">
    <x:dataValidation type="list" sqref="D4:D100">
      <x:formula1>"TECH001,TECH002,TECH003,TECH004,TECH005,TECH006,TECH007,TECH008,TECH009,TECH010"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8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3" hidden="0" customWidth="1"/>
    <x:col min="17" max="17" width="13" hidden="0" customWidth="1"/>
    <x:col min="18" max="18" width="15" hidden="0" customWidth="1"/>
    <x:col min="19" max="19" width="17" hidden="0" customWidth="1"/>
    <x:col min="20" max="20" width="16" hidden="0" customWidth="1"/>
    <x:col min="21" max="21" width="16" hidden="0" customWidth="1"/>
    <x:col min="22" max="22" width="15" hidden="0" customWidth="1"/>
    <x:col min="23" max="23" width="17" hidden="0" customWidth="1"/>
    <x:col min="24" max="24" width="17" hidden="0" customWidth="1"/>
    <x:col min="25" max="25" width="35" hidden="0" customWidth="1"/>
    <x:col min="26" max="26" width="35" hidden="0" customWidth="1"/>
    <x:col min="27" max="27" width="43" hidden="0" customWidth="1"/>
    <x:col min="28" max="28" width="43" hidden="0" customWidth="1"/>
    <x:col min="29" max="29" width="14" hidden="0" customWidth="1"/>
  </x:cols>
  <x:sheetData>
    <x:row r="1" ht="28" customHeight="1">
      <x:c r="A1" s="5" t="str">
        <x:v>Technology Scoring Model and Technology Ratings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38" customHeight="1">
      <x:c r="A2" s="13" t="str">
        <x:v>This sheet has two controls only: (1) the objective matrix determines category weightage, and (2) the technology table provides 0–100 capability scores and indicative feasibility requirements. Final designs still require vendor simulation and engineering validation.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>
      <x:c r="A4" s="135" t="str">
        <x:v>G. Primary and Secondary Objective Blend</x:v>
      </x:c>
      <x:c r="B4" s="135"/>
      <x:c r="C4" s="135"/>
      <x:c r="D4" s="135"/>
    </x:row>
    <x:row r="5">
      <x:c r="A5" s="29" t="str">
        <x:v>Objective Blend Setting</x:v>
      </x:c>
      <x:c r="B5" s="30" t="str">
        <x:v>Value</x:v>
      </x:c>
      <x:c r="C5" s="30" t="str">
        <x:v>Unit</x:v>
      </x:c>
      <x:c r="D5" s="31" t="str">
        <x:v>Meaning</x:v>
      </x:c>
    </x:row>
    <x:row r="6" ht="30" customHeight="1">
      <x:c r="A6" s="154" t="str">
        <x:v>G. Primary Objective Blend</x:v>
      </x:c>
      <x:c r="B6" s="186" t="n">
        <x:v>70</x:v>
      </x:c>
      <x:c r="C6" s="155" t="str">
        <x:v>%</x:v>
      </x:c>
      <x:c r="D6" s="156" t="str">
        <x:v>The selected primary objective contributes 70% of the final category weightage.</x:v>
      </x:c>
    </x:row>
    <x:row r="7" ht="30" customHeight="1">
      <x:c r="A7" s="157" t="str">
        <x:v>G. Secondary Objective Blend</x:v>
      </x:c>
      <x:c r="B7" s="187" t="n">
        <x:v>30</x:v>
      </x:c>
      <x:c r="C7" s="158" t="str">
        <x:v>%</x:v>
      </x:c>
      <x:c r="D7" s="159" t="str">
        <x:v>The selected secondary objective contributes 30% of the final category weightage.</x:v>
      </x:c>
    </x:row>
    <x:row r="9">
      <x:c r="A9" s="135" t="str">
        <x:v>Dynamic Objective Weightage Matrix — category points out of 100</x:v>
      </x:c>
      <x:c r="B9" s="135"/>
      <x:c r="C9" s="135"/>
      <x:c r="D9" s="135"/>
      <x:c r="E9" s="135"/>
      <x:c r="F9" s="135"/>
      <x:c r="G9" s="135"/>
      <x:c r="H9" s="135"/>
      <x:c r="I9" s="135"/>
      <x:c r="J9" s="135"/>
    </x:row>
    <x:row r="10" ht="42" customHeight="1">
      <x:c r="A10" s="29" t="str">
        <x:v>Business Objective</x:v>
      </x:c>
      <x:c r="B10" s="30" t="str">
        <x:v>A. Building</x:v>
      </x:c>
      <x:c r="C10" s="30" t="str">
        <x:v>B &amp; I. Data Readiness</x:v>
      </x:c>
      <x:c r="D10" s="30" t="str">
        <x:v>C &amp; E. Throughput</x:v>
      </x:c>
      <x:c r="E10" s="30" t="str">
        <x:v>D. Density</x:v>
      </x:c>
      <x:c r="F10" s="30" t="str">
        <x:v>D &amp; E. Product Fit</x:v>
      </x:c>
      <x:c r="G10" s="30" t="str">
        <x:v>F. Labour</x:v>
      </x:c>
      <x:c r="H10" s="30" t="str">
        <x:v>H. Scalability</x:v>
      </x:c>
      <x:c r="I10" s="30" t="str">
        <x:v>A. Budget</x:v>
      </x:c>
      <x:c r="J10" s="31" t="str">
        <x:v>Total</x:v>
      </x:c>
    </x:row>
    <x:row r="11">
      <x:c r="A11" s="255" t="str">
        <x:v>D. Maximise storage density</x:v>
      </x:c>
      <x:c r="B11" s="277" t="n">
        <x:v>10</x:v>
      </x:c>
      <x:c r="C11" s="278" t="n">
        <x:v>5</x:v>
      </x:c>
      <x:c r="D11" s="278" t="n">
        <x:v>15</x:v>
      </x:c>
      <x:c r="E11" s="278" t="n">
        <x:v>30</x:v>
      </x:c>
      <x:c r="F11" s="278" t="n">
        <x:v>14</x:v>
      </x:c>
      <x:c r="G11" s="278" t="n">
        <x:v>13</x:v>
      </x:c>
      <x:c r="H11" s="278" t="n">
        <x:v>8</x:v>
      </x:c>
      <x:c r="I11" s="279" t="n">
        <x:v>5</x:v>
      </x:c>
      <x:c r="J11" s="314" t="n">
        <x:f>SUM(B11:I11)</x:f>
        <x:v>100</x:v>
      </x:c>
    </x:row>
    <x:row r="12">
      <x:c r="A12" s="256" t="str">
        <x:v>E. Increase throughput</x:v>
      </x:c>
      <x:c r="B12" s="280" t="n">
        <x:v>10</x:v>
      </x:c>
      <x:c r="C12" s="281" t="n">
        <x:v>5</x:v>
      </x:c>
      <x:c r="D12" s="281" t="n">
        <x:v>30</x:v>
      </x:c>
      <x:c r="E12" s="281" t="n">
        <x:v>15</x:v>
      </x:c>
      <x:c r="F12" s="281" t="n">
        <x:v>14</x:v>
      </x:c>
      <x:c r="G12" s="281" t="n">
        <x:v>13</x:v>
      </x:c>
      <x:c r="H12" s="281" t="n">
        <x:v>8</x:v>
      </x:c>
      <x:c r="I12" s="282" t="n">
        <x:v>5</x:v>
      </x:c>
      <x:c r="J12" s="315" t="n">
        <x:f>SUM(B12:I12)</x:f>
        <x:v>100</x:v>
      </x:c>
    </x:row>
    <x:row r="13">
      <x:c r="A13" s="256" t="str">
        <x:v>F. Reduce labour</x:v>
      </x:c>
      <x:c r="B13" s="280" t="n">
        <x:v>9</x:v>
      </x:c>
      <x:c r="C13" s="281" t="n">
        <x:v>5</x:v>
      </x:c>
      <x:c r="D13" s="281" t="n">
        <x:v>18</x:v>
      </x:c>
      <x:c r="E13" s="281" t="n">
        <x:v>17</x:v>
      </x:c>
      <x:c r="F13" s="281" t="n">
        <x:v>14</x:v>
      </x:c>
      <x:c r="G13" s="281" t="n">
        <x:v>25</x:v>
      </x:c>
      <x:c r="H13" s="281" t="n">
        <x:v>7</x:v>
      </x:c>
      <x:c r="I13" s="282" t="n">
        <x:v>5</x:v>
      </x:c>
      <x:c r="J13" s="315" t="n">
        <x:f>SUM(B13:I13)</x:f>
        <x:v>100</x:v>
      </x:c>
    </x:row>
    <x:row r="14">
      <x:c r="A14" s="256" t="str">
        <x:v>E. Improve picking accuracy</x:v>
      </x:c>
      <x:c r="B14" s="280" t="n">
        <x:v>10</x:v>
      </x:c>
      <x:c r="C14" s="281" t="n">
        <x:v>5</x:v>
      </x:c>
      <x:c r="D14" s="281" t="n">
        <x:v>20</x:v>
      </x:c>
      <x:c r="E14" s="281" t="n">
        <x:v>20</x:v>
      </x:c>
      <x:c r="F14" s="281" t="n">
        <x:v>15</x:v>
      </x:c>
      <x:c r="G14" s="281" t="n">
        <x:v>15</x:v>
      </x:c>
      <x:c r="H14" s="281" t="n">
        <x:v>10</x:v>
      </x:c>
      <x:c r="I14" s="282" t="n">
        <x:v>5</x:v>
      </x:c>
      <x:c r="J14" s="315" t="n">
        <x:f>SUM(B14:I14)</x:f>
        <x:v>100</x:v>
      </x:c>
    </x:row>
    <x:row r="15">
      <x:c r="A15" s="256" t="str">
        <x:v>A. Improve site fit / ergonomics</x:v>
      </x:c>
      <x:c r="B15" s="280" t="n">
        <x:v>8</x:v>
      </x:c>
      <x:c r="C15" s="281" t="n">
        <x:v>5</x:v>
      </x:c>
      <x:c r="D15" s="281" t="n">
        <x:v>15</x:v>
      </x:c>
      <x:c r="E15" s="281" t="n">
        <x:v>17</x:v>
      </x:c>
      <x:c r="F15" s="281" t="n">
        <x:v>18</x:v>
      </x:c>
      <x:c r="G15" s="281" t="n">
        <x:v>25</x:v>
      </x:c>
      <x:c r="H15" s="281" t="n">
        <x:v>7</x:v>
      </x:c>
      <x:c r="I15" s="282" t="n">
        <x:v>5</x:v>
      </x:c>
      <x:c r="J15" s="315" t="n">
        <x:f>SUM(B15:I15)</x:f>
        <x:v>100</x:v>
      </x:c>
    </x:row>
    <x:row r="16">
      <x:c r="A16" s="256" t="str">
        <x:v>H. Improve scalability</x:v>
      </x:c>
      <x:c r="B16" s="280" t="n">
        <x:v>8</x:v>
      </x:c>
      <x:c r="C16" s="281" t="n">
        <x:v>5</x:v>
      </x:c>
      <x:c r="D16" s="281" t="n">
        <x:v>18</x:v>
      </x:c>
      <x:c r="E16" s="281" t="n">
        <x:v>16</x:v>
      </x:c>
      <x:c r="F16" s="281" t="n">
        <x:v>13</x:v>
      </x:c>
      <x:c r="G16" s="281" t="n">
        <x:v>13</x:v>
      </x:c>
      <x:c r="H16" s="281" t="n">
        <x:v>22</x:v>
      </x:c>
      <x:c r="I16" s="282" t="n">
        <x:v>5</x:v>
      </x:c>
      <x:c r="J16" s="315" t="n">
        <x:f>SUM(B16:I16)</x:f>
        <x:v>100</x:v>
      </x:c>
    </x:row>
    <x:row r="17">
      <x:c r="A17" s="257" t="str">
        <x:v>A. Reduce cost</x:v>
      </x:c>
      <x:c r="B17" s="283" t="n">
        <x:v>8</x:v>
      </x:c>
      <x:c r="C17" s="284" t="n">
        <x:v>5</x:v>
      </x:c>
      <x:c r="D17" s="284" t="n">
        <x:v>16</x:v>
      </x:c>
      <x:c r="E17" s="284" t="n">
        <x:v>16</x:v>
      </x:c>
      <x:c r="F17" s="284" t="n">
        <x:v>13</x:v>
      </x:c>
      <x:c r="G17" s="284" t="n">
        <x:v>13</x:v>
      </x:c>
      <x:c r="H17" s="284" t="n">
        <x:v>7</x:v>
      </x:c>
      <x:c r="I17" s="285" t="n">
        <x:v>22</x:v>
      </x:c>
      <x:c r="J17" s="316" t="n">
        <x:f>SUM(B17:I17)</x:f>
        <x:v>100</x:v>
      </x:c>
    </x:row>
    <x:row r="18" ht="32" customHeight="1">
      <x:c r="A18" s="333" t="str">
        <x:v>Final category weight = 70% of the selected primary-objective row + 30% of the selected secondary-objective row. If both objectives are the same, that row contributes 100%.</x:v>
      </x:c>
      <x:c r="B18" s="333"/>
      <x:c r="C18" s="333"/>
      <x:c r="D18" s="333"/>
      <x:c r="E18" s="333"/>
      <x:c r="F18" s="333"/>
      <x:c r="G18" s="333"/>
      <x:c r="H18" s="333"/>
      <x:c r="I18" s="333"/>
      <x:c r="J18" s="333"/>
    </x:row>
    <x:row r="20">
      <x:c r="A20" s="135" t="str">
        <x:v>Technology Capability Score Scale (0–100)</x:v>
      </x:c>
      <x:c r="B20" s="135"/>
      <x:c r="C20" s="135"/>
      <x:c r="D20" s="135"/>
    </x:row>
    <x:row r="21">
      <x:c r="A21" s="349" t="str">
        <x:v>Score Band</x:v>
      </x:c>
      <x:c r="B21" s="350" t="str">
        <x:v>Label</x:v>
      </x:c>
      <x:c r="C21" s="350" t="str">
        <x:v>Meaning</x:v>
      </x:c>
      <x:c r="D21" s="351"/>
    </x:row>
    <x:row r="22">
      <x:c r="A22" s="186" t="str">
        <x:v>0–20</x:v>
      </x:c>
      <x:c r="B22" s="381" t="str">
        <x:v>Very Low</x:v>
      </x:c>
      <x:c r="C22" s="215" t="str">
        <x:v>Not intended for this requirement or a strong mismatch.</x:v>
      </x:c>
      <x:c r="D22" s="216"/>
    </x:row>
    <x:row r="23">
      <x:c r="A23" s="369" t="str">
        <x:v>21–40</x:v>
      </x:c>
      <x:c r="B23" s="382" t="str">
        <x:v>Low</x:v>
      </x:c>
      <x:c r="C23" s="218" t="str">
        <x:v>Limited capability; suitable only in narrow or low-volume cases.</x:v>
      </x:c>
      <x:c r="D23" s="219"/>
    </x:row>
    <x:row r="24">
      <x:c r="A24" s="369" t="str">
        <x:v>41–60</x:v>
      </x:c>
      <x:c r="B24" s="382" t="str">
        <x:v>Moderate</x:v>
      </x:c>
      <x:c r="C24" s="218" t="str">
        <x:v>Workable capability for typical applications.</x:v>
      </x:c>
      <x:c r="D24" s="219"/>
    </x:row>
    <x:row r="25">
      <x:c r="A25" s="369" t="str">
        <x:v>61–80</x:v>
      </x:c>
      <x:c r="B25" s="382" t="str">
        <x:v>High</x:v>
      </x:c>
      <x:c r="C25" s="218" t="str">
        <x:v>Strong capability and a common application strength.</x:v>
      </x:c>
      <x:c r="D25" s="219"/>
    </x:row>
    <x:row r="26">
      <x:c r="A26" s="187" t="str">
        <x:v>81–100</x:v>
      </x:c>
      <x:c r="B26" s="383" t="str">
        <x:v>Very High</x:v>
      </x:c>
      <x:c r="C26" s="221" t="str">
        <x:v>Core technology strength or among the strongest options in the shortlist.</x:v>
      </x:c>
      <x:c r="D26" s="222"/>
    </x:row>
    <x:row r="28">
      <x:c r="A28" s="395" t="str">
        <x:v>Technology Capability and Feasibility Database</x:v>
      </x:c>
      <x:c r="B28" s="395"/>
      <x:c r="C28" s="395"/>
      <x:c r="D28" s="395"/>
      <x:c r="E28" s="395"/>
      <x:c r="F28" s="395"/>
      <x:c r="G28" s="395"/>
      <x:c r="H28" s="395"/>
      <x:c r="I28" s="395"/>
      <x:c r="J28" s="395"/>
      <x:c r="K28" s="395"/>
      <x:c r="L28" s="395"/>
      <x:c r="M28" s="395"/>
      <x:c r="N28" s="395"/>
      <x:c r="O28" s="395"/>
      <x:c r="P28" s="395"/>
      <x:c r="Q28" s="395"/>
      <x:c r="R28" s="395"/>
      <x:c r="S28" s="395"/>
      <x:c r="T28" s="395"/>
      <x:c r="U28" s="395"/>
      <x:c r="V28" s="395"/>
      <x:c r="W28" s="395"/>
      <x:c r="X28" s="395"/>
      <x:c r="Y28" s="395"/>
      <x:c r="Z28" s="395"/>
      <x:c r="AA28" s="395"/>
      <x:c r="AB28" s="395"/>
      <x:c r="AC28" s="395"/>
    </x:row>
    <x:row r="29" ht="55" customHeight="1">
      <x:c r="A29" s="409" t="str">
        <x:v>Technology ID</x:v>
      </x:c>
      <x:c r="B29" s="410" t="str">
        <x:v>Technology Name</x:v>
      </x:c>
      <x:c r="C29" s="410" t="str">
        <x:v>Enabled</x:v>
      </x:c>
      <x:c r="D29" s="410" t="str">
        <x:v>Family</x:v>
      </x:c>
      <x:c r="E29" s="410" t="str">
        <x:v>Pallet Fit</x:v>
      </x:c>
      <x:c r="F29" s="410" t="str">
        <x:v>Carton Fit</x:v>
      </x:c>
      <x:c r="G29" s="410" t="str">
        <x:v>Tote/Bin Fit</x:v>
      </x:c>
      <x:c r="H29" s="410" t="str">
        <x:v>Small Item Fit</x:v>
      </x:c>
      <x:c r="I29" s="410" t="str">
        <x:v>Piece Pick Fit</x:v>
      </x:c>
      <x:c r="J29" s="410" t="str">
        <x:v>Density Capability</x:v>
      </x:c>
      <x:c r="K29" s="410" t="str">
        <x:v>Outbound Throughput Capability</x:v>
      </x:c>
      <x:c r="L29" s="410" t="str">
        <x:v>Inbound Pallet Capability</x:v>
      </x:c>
      <x:c r="M29" s="410" t="str">
        <x:v>Deep-Lane Suitability</x:v>
      </x:c>
      <x:c r="N29" s="410" t="str">
        <x:v>Random Access Capability</x:v>
      </x:c>
      <x:c r="O29" s="410" t="str">
        <x:v>Labour Saving Capability</x:v>
      </x:c>
      <x:c r="P29" s="410" t="str">
        <x:v>Flexibility</x:v>
      </x:c>
      <x:c r="Q29" s="410" t="str">
        <x:v>Scalability</x:v>
      </x:c>
      <x:c r="R29" s="410" t="str">
        <x:v>Indicative Minimum Height</x:v>
      </x:c>
      <x:c r="S29" s="410" t="str">
        <x:v>Indicative Minimum Floor Load</x:v>
      </x:c>
      <x:c r="T29" s="410" t="str">
        <x:v>Indicative Minimum Floor Area</x:v>
      </x:c>
      <x:c r="U29" s="410" t="str">
        <x:v>Indicative Minimum Lease Years</x:v>
      </x:c>
      <x:c r="V29" s="410" t="str">
        <x:v>Minimum Data Readiness</x:v>
      </x:c>
      <x:c r="W29" s="410" t="str">
        <x:v>Technology Budget Min</x:v>
      </x:c>
      <x:c r="X29" s="410" t="str">
        <x:v>Technology Budget Max</x:v>
      </x:c>
      <x:c r="Y29" s="410" t="str">
        <x:v>Best Fit</x:v>
      </x:c>
      <x:c r="Z29" s="410" t="str">
        <x:v>Less Suitable When</x:v>
      </x:c>
      <x:c r="AA29" s="410" t="str">
        <x:v>Why This Outbound Throughput Rating</x:v>
      </x:c>
      <x:c r="AB29" s="410" t="str">
        <x:v>Reference Source</x:v>
      </x:c>
      <x:c r="AC29" s="411" t="str">
        <x:v>Last Updated</x:v>
      </x:c>
    </x:row>
    <x:row r="30">
      <x:c r="A30" s="479" t="str">
        <x:v>TECH001</x:v>
      </x:c>
      <x:c r="B30" s="480" t="str">
        <x:v>Cube Storage System</x:v>
      </x:c>
      <x:c r="C30" s="480" t="str">
        <x:v>Yes</x:v>
      </x:c>
      <x:c r="D30" s="480" t="str">
        <x:v>Bin</x:v>
      </x:c>
      <x:c r="E30" s="539" t="n">
        <x:v>20</x:v>
      </x:c>
      <x:c r="F30" s="539" t="n">
        <x:v>60</x:v>
      </x:c>
      <x:c r="G30" s="539" t="n">
        <x:v>100</x:v>
      </x:c>
      <x:c r="H30" s="539" t="n">
        <x:v>100</x:v>
      </x:c>
      <x:c r="I30" s="539" t="n">
        <x:v>100</x:v>
      </x:c>
      <x:c r="J30" s="539" t="n">
        <x:v>100</x:v>
      </x:c>
      <x:c r="K30" s="539" t="n">
        <x:v>100</x:v>
      </x:c>
      <x:c r="L30" s="539" t="n">
        <x:v>40</x:v>
      </x:c>
      <x:c r="M30" s="539" t="n">
        <x:v>20</x:v>
      </x:c>
      <x:c r="N30" s="539" t="n">
        <x:v>100</x:v>
      </x:c>
      <x:c r="O30" s="539" t="n">
        <x:v>80</x:v>
      </x:c>
      <x:c r="P30" s="539" t="n">
        <x:v>80</x:v>
      </x:c>
      <x:c r="Q30" s="539" t="n">
        <x:v>80</x:v>
      </x:c>
      <x:c r="R30" s="511" t="n">
        <x:v>3</x:v>
      </x:c>
      <x:c r="S30" s="519" t="n">
        <x:v>500</x:v>
      </x:c>
      <x:c r="T30" s="519" t="n">
        <x:v>200</x:v>
      </x:c>
      <x:c r="U30" s="519" t="n">
        <x:v>3</x:v>
      </x:c>
      <x:c r="V30" s="519" t="n">
        <x:v>65</x:v>
      </x:c>
      <x:c r="W30" s="527" t="n">
        <x:v>1500000</x:v>
      </x:c>
      <x:c r="X30" s="527" t="n">
        <x:v>8000000</x:v>
      </x:c>
      <x:c r="Y30" s="480" t="str">
        <x:v>High-density tote/bin storage, high SKU count and goods-to-person piece picking.</x:v>
      </x:c>
      <x:c r="Z30" s="480" t="str">
        <x:v>Full-pallet operations, oversized items or facilities unable to support a grid structure.</x:v>
      </x:c>
      <x:c r="AA30" s="480" t="str">
        <x:v>Very High (100/100). AutoStore workstations handle up to 650 bins/hour per port, and system throughput scales by adding ports.</x:v>
      </x:c>
      <x:c r="AB30" s="480" t="str">
        <x:v>https://www.autostoresystem.com/system/workstations/relay-port</x:v>
      </x:c>
      <x:c r="AC30" s="535" t="str">
        <x:v>2026-07-23</x:v>
      </x:c>
    </x:row>
    <x:row r="31">
      <x:c r="A31" s="485" t="str">
        <x:v>TECH002</x:v>
      </x:c>
      <x:c r="B31" s="486" t="str">
        <x:v>Miniload ASRS</x:v>
      </x:c>
      <x:c r="C31" s="486" t="str">
        <x:v>Yes</x:v>
      </x:c>
      <x:c r="D31" s="486" t="str">
        <x:v>Bin</x:v>
      </x:c>
      <x:c r="E31" s="540" t="n">
        <x:v>20</x:v>
      </x:c>
      <x:c r="F31" s="540" t="n">
        <x:v>80</x:v>
      </x:c>
      <x:c r="G31" s="540" t="n">
        <x:v>100</x:v>
      </x:c>
      <x:c r="H31" s="540" t="n">
        <x:v>80</x:v>
      </x:c>
      <x:c r="I31" s="540" t="n">
        <x:v>80</x:v>
      </x:c>
      <x:c r="J31" s="540" t="n">
        <x:v>80</x:v>
      </x:c>
      <x:c r="K31" s="540" t="n">
        <x:v>80</x:v>
      </x:c>
      <x:c r="L31" s="540" t="n">
        <x:v>40</x:v>
      </x:c>
      <x:c r="M31" s="540" t="n">
        <x:v>20</x:v>
      </x:c>
      <x:c r="N31" s="540" t="n">
        <x:v>100</x:v>
      </x:c>
      <x:c r="O31" s="540" t="n">
        <x:v>80</x:v>
      </x:c>
      <x:c r="P31" s="540" t="n">
        <x:v>60</x:v>
      </x:c>
      <x:c r="Q31" s="540" t="n">
        <x:v>80</x:v>
      </x:c>
      <x:c r="R31" s="512" t="n">
        <x:v>5.5</x:v>
      </x:c>
      <x:c r="S31" s="520" t="n">
        <x:v>750</x:v>
      </x:c>
      <x:c r="T31" s="520" t="n">
        <x:v>500</x:v>
      </x:c>
      <x:c r="U31" s="520" t="n">
        <x:v>4</x:v>
      </x:c>
      <x:c r="V31" s="520" t="n">
        <x:v>75</x:v>
      </x:c>
      <x:c r="W31" s="528" t="n">
        <x:v>1200000</x:v>
      </x:c>
      <x:c r="X31" s="528" t="n">
        <x:v>7000000</x:v>
      </x:c>
      <x:c r="Y31" s="486" t="str">
        <x:v>High-volume tote, tray or case storage requiring controlled inventory and fast retrieval.</x:v>
      </x:c>
      <x:c r="Z31" s="486" t="str">
        <x:v>Very small facilities, low volume, short lease or weak system/data readiness.</x:v>
      </x:c>
      <x:c r="AA31" s="486" t="str">
        <x:v>High (80/100). Fixed-aisle miniload cranes are designed for fast, high-volume container and case retrieval; capacity scales by aisle and crane count.</x:v>
      </x:c>
      <x:c r="AB31" s="486" t="str">
        <x:v>https://www.daifuku.com/solution/intralogistics/products/automated-warehouse/miniload-asrs/</x:v>
      </x:c>
      <x:c r="AC31" s="536" t="str">
        <x:v>2026-07-23</x:v>
      </x:c>
    </x:row>
    <x:row r="32">
      <x:c r="A32" s="491" t="str">
        <x:v>TECH003</x:v>
      </x:c>
      <x:c r="B32" s="492" t="str">
        <x:v>Pallet ASRS</x:v>
      </x:c>
      <x:c r="C32" s="492" t="str">
        <x:v>Yes</x:v>
      </x:c>
      <x:c r="D32" s="492" t="str">
        <x:v>Pallet</x:v>
      </x:c>
      <x:c r="E32" s="541" t="n">
        <x:v>100</x:v>
      </x:c>
      <x:c r="F32" s="541" t="n">
        <x:v>40</x:v>
      </x:c>
      <x:c r="G32" s="541" t="n">
        <x:v>20</x:v>
      </x:c>
      <x:c r="H32" s="541" t="n">
        <x:v>20</x:v>
      </x:c>
      <x:c r="I32" s="541" t="n">
        <x:v>20</x:v>
      </x:c>
      <x:c r="J32" s="541" t="n">
        <x:v>100</x:v>
      </x:c>
      <x:c r="K32" s="541" t="n">
        <x:v>60</x:v>
      </x:c>
      <x:c r="L32" s="541" t="n">
        <x:v>100</x:v>
      </x:c>
      <x:c r="M32" s="541" t="n">
        <x:v>80</x:v>
      </x:c>
      <x:c r="N32" s="541" t="n">
        <x:v>100</x:v>
      </x:c>
      <x:c r="O32" s="541" t="n">
        <x:v>80</x:v>
      </x:c>
      <x:c r="P32" s="541" t="n">
        <x:v>40</x:v>
      </x:c>
      <x:c r="Q32" s="541" t="n">
        <x:v>60</x:v>
      </x:c>
      <x:c r="R32" s="513" t="n">
        <x:v>8</x:v>
      </x:c>
      <x:c r="S32" s="521" t="n">
        <x:v>1500</x:v>
      </x:c>
      <x:c r="T32" s="521" t="n">
        <x:v>800</x:v>
      </x:c>
      <x:c r="U32" s="521" t="n">
        <x:v>5</x:v>
      </x:c>
      <x:c r="V32" s="521" t="n">
        <x:v>75</x:v>
      </x:c>
      <x:c r="W32" s="529" t="n">
        <x:v>2500000</x:v>
      </x:c>
      <x:c r="X32" s="529" t="n">
        <x:v>15000000</x:v>
      </x:c>
      <x:c r="Y32" s="492" t="str">
        <x:v>High pallet inventory, tall buildings, stable pallet flows and long-term facilities.</x:v>
      </x:c>
      <x:c r="Z32" s="492" t="str">
        <x:v>Low pallet volume, short lease, low clear height or piece-pick-heavy operations.</x:v>
      </x:c>
      <x:c r="AA32" s="492" t="str">
        <x:v>Moderate (60/100) for outbound order fulfilment. It provides strong pallet storage and retrieval but moves pallets rather than individual order lines.</x:v>
      </x:c>
      <x:c r="AB32" s="492" t="str">
        <x:v>https://www.daifuku.com/solution/intralogistics/products/automated-warehouse/types-features/</x:v>
      </x:c>
      <x:c r="AC32" s="537" t="str">
        <x:v>2026-07-23</x:v>
      </x:c>
    </x:row>
    <x:row r="33">
      <x:c r="A33" s="485" t="str">
        <x:v>TECH004</x:v>
      </x:c>
      <x:c r="B33" s="486" t="str">
        <x:v>4-Way Shuttle</x:v>
      </x:c>
      <x:c r="C33" s="486" t="str">
        <x:v>Yes</x:v>
      </x:c>
      <x:c r="D33" s="486" t="str">
        <x:v>Pallet</x:v>
      </x:c>
      <x:c r="E33" s="540" t="n">
        <x:v>100</x:v>
      </x:c>
      <x:c r="F33" s="540" t="n">
        <x:v>60</x:v>
      </x:c>
      <x:c r="G33" s="540" t="n">
        <x:v>20</x:v>
      </x:c>
      <x:c r="H33" s="540" t="n">
        <x:v>20</x:v>
      </x:c>
      <x:c r="I33" s="540" t="n">
        <x:v>20</x:v>
      </x:c>
      <x:c r="J33" s="540" t="n">
        <x:v>100</x:v>
      </x:c>
      <x:c r="K33" s="540" t="n">
        <x:v>80</x:v>
      </x:c>
      <x:c r="L33" s="540" t="n">
        <x:v>100</x:v>
      </x:c>
      <x:c r="M33" s="540" t="n">
        <x:v>80</x:v>
      </x:c>
      <x:c r="N33" s="540" t="n">
        <x:v>100</x:v>
      </x:c>
      <x:c r="O33" s="540" t="n">
        <x:v>80</x:v>
      </x:c>
      <x:c r="P33" s="540" t="n">
        <x:v>80</x:v>
      </x:c>
      <x:c r="Q33" s="540" t="n">
        <x:v>100</x:v>
      </x:c>
      <x:c r="R33" s="512" t="n">
        <x:v>5</x:v>
      </x:c>
      <x:c r="S33" s="520" t="n">
        <x:v>1000</x:v>
      </x:c>
      <x:c r="T33" s="520" t="n">
        <x:v>500</x:v>
      </x:c>
      <x:c r="U33" s="520" t="n">
        <x:v>4</x:v>
      </x:c>
      <x:c r="V33" s="520" t="n">
        <x:v>70</x:v>
      </x:c>
      <x:c r="W33" s="528" t="n">
        <x:v>2000000</x:v>
      </x:c>
      <x:c r="X33" s="528" t="n">
        <x:v>12000000</x:v>
      </x:c>
      <x:c r="Y33" s="486" t="str">
        <x:v>Dense pallet storage requiring random access, flexible routing and future expansion.</x:v>
      </x:c>
      <x:c r="Z33" s="486" t="str">
        <x:v>Very low budget, very small facilities or operations dominated by small-item piece picking.</x:v>
      </x:c>
      <x:c r="AA33" s="486" t="str">
        <x:v>High (80/100) for pallet flow. Multiple shuttles and lifts provide scalable storage and retrieval, but it is not a direct piece-picking system.</x:v>
      </x:c>
      <x:c r="AB33" s="486" t="str">
        <x:v>https://www.ssi-schaefer.com/en-asia/products/storage/automated-storage/automated-storage-systems-for-pallets/ssi-pallet-roaming-shuttle</x:v>
      </x:c>
      <x:c r="AC33" s="536" t="str">
        <x:v>2026-07-23</x:v>
      </x:c>
    </x:row>
    <x:row r="34">
      <x:c r="A34" s="491" t="str">
        <x:v>TECH005</x:v>
      </x:c>
      <x:c r="B34" s="492" t="str">
        <x:v>AMR Goods-to-Person</x:v>
      </x:c>
      <x:c r="C34" s="492" t="str">
        <x:v>Yes</x:v>
      </x:c>
      <x:c r="D34" s="492" t="str">
        <x:v>Mobile/Bin</x:v>
      </x:c>
      <x:c r="E34" s="541" t="n">
        <x:v>20</x:v>
      </x:c>
      <x:c r="F34" s="541" t="n">
        <x:v>80</x:v>
      </x:c>
      <x:c r="G34" s="541" t="n">
        <x:v>80</x:v>
      </x:c>
      <x:c r="H34" s="541" t="n">
        <x:v>80</x:v>
      </x:c>
      <x:c r="I34" s="541" t="n">
        <x:v>80</x:v>
      </x:c>
      <x:c r="J34" s="541" t="n">
        <x:v>40</x:v>
      </x:c>
      <x:c r="K34" s="541" t="n">
        <x:v>80</x:v>
      </x:c>
      <x:c r="L34" s="541" t="n">
        <x:v>40</x:v>
      </x:c>
      <x:c r="M34" s="541" t="n">
        <x:v>20</x:v>
      </x:c>
      <x:c r="N34" s="541" t="n">
        <x:v>100</x:v>
      </x:c>
      <x:c r="O34" s="541" t="n">
        <x:v>80</x:v>
      </x:c>
      <x:c r="P34" s="541" t="n">
        <x:v>100</x:v>
      </x:c>
      <x:c r="Q34" s="541" t="n">
        <x:v>100</x:v>
      </x:c>
      <x:c r="R34" s="513" t="n">
        <x:v>3</x:v>
      </x:c>
      <x:c r="S34" s="521" t="n">
        <x:v>300</x:v>
      </x:c>
      <x:c r="T34" s="521" t="n">
        <x:v>250</x:v>
      </x:c>
      <x:c r="U34" s="521" t="n">
        <x:v>1</x:v>
      </x:c>
      <x:c r="V34" s="521" t="n">
        <x:v>55</x:v>
      </x:c>
      <x:c r="W34" s="529" t="n">
        <x:v>350000</x:v>
      </x:c>
      <x:c r="X34" s="529" t="n">
        <x:v>2500000</x:v>
      </x:c>
      <x:c r="Y34" s="492" t="str">
        <x:v>Flexible phased automation, travel reduction, mixed SKUs and shorter leases.</x:v>
      </x:c>
      <x:c r="Z34" s="492" t="str">
        <x:v>Maximum-density requirements or the highest fixed-system throughput requirements.</x:v>
      </x:c>
      <x:c r="AA34" s="492" t="str">
        <x:v>High (80/100). Goods-to-person AMRs commonly improve picking productivity two to three times, while peak capacity depends on robot and workstation count.</x:v>
      </x:c>
      <x:c r="AB34" s="492" t="str">
        <x:v>https://www.geekplus.com/resources/product-brochures/pickingflyer-1</x:v>
      </x:c>
      <x:c r="AC34" s="537" t="str">
        <x:v>2026-07-23</x:v>
      </x:c>
    </x:row>
    <x:row r="35">
      <x:c r="A35" s="485" t="str">
        <x:v>TECH006</x:v>
      </x:c>
      <x:c r="B35" s="486" t="str">
        <x:v>Pallet Shuttle</x:v>
      </x:c>
      <x:c r="C35" s="486" t="str">
        <x:v>Yes</x:v>
      </x:c>
      <x:c r="D35" s="486" t="str">
        <x:v>Pallet</x:v>
      </x:c>
      <x:c r="E35" s="540" t="n">
        <x:v>100</x:v>
      </x:c>
      <x:c r="F35" s="540" t="n">
        <x:v>40</x:v>
      </x:c>
      <x:c r="G35" s="540" t="n">
        <x:v>20</x:v>
      </x:c>
      <x:c r="H35" s="540" t="n">
        <x:v>20</x:v>
      </x:c>
      <x:c r="I35" s="540" t="n">
        <x:v>20</x:v>
      </x:c>
      <x:c r="J35" s="540" t="n">
        <x:v>100</x:v>
      </x:c>
      <x:c r="K35" s="540" t="n">
        <x:v>60</x:v>
      </x:c>
      <x:c r="L35" s="540" t="n">
        <x:v>80</x:v>
      </x:c>
      <x:c r="M35" s="540" t="n">
        <x:v>100</x:v>
      </x:c>
      <x:c r="N35" s="540" t="n">
        <x:v>40</x:v>
      </x:c>
      <x:c r="O35" s="540" t="n">
        <x:v>60</x:v>
      </x:c>
      <x:c r="P35" s="540" t="n">
        <x:v>60</x:v>
      </x:c>
      <x:c r="Q35" s="540" t="n">
        <x:v>60</x:v>
      </x:c>
      <x:c r="R35" s="512" t="n">
        <x:v>5</x:v>
      </x:c>
      <x:c r="S35" s="520" t="n">
        <x:v>1000</x:v>
      </x:c>
      <x:c r="T35" s="520" t="n">
        <x:v>400</x:v>
      </x:c>
      <x:c r="U35" s="520" t="n">
        <x:v>3</x:v>
      </x:c>
      <x:c r="V35" s="520" t="n">
        <x:v>50</x:v>
      </x:c>
      <x:c r="W35" s="528" t="n">
        <x:v>800000</x:v>
      </x:c>
      <x:c r="X35" s="528" t="n">
        <x:v>7000000</x:v>
      </x:c>
      <x:c r="Y35" s="486" t="str">
        <x:v>Dense multi-deep pallet lanes with grouped SKUs, batches or velocity classes.</x:v>
      </x:c>
      <x:c r="Z35" s="486" t="str">
        <x:v>Many low-quantity SKUs requiring immediate direct access to every pallet.</x:v>
      </x:c>
      <x:c r="AA35" s="486" t="str">
        <x:v>Moderate (60/100). It supports efficient high-density pallet movement, but lane structure limits immediate random access compared with dedicated cranes or 4-way systems.</x:v>
      </x:c>
      <x:c r="AB35" s="486" t="str">
        <x:v>https://www.ssi-schaefer.com/en-asia/solutions/by-intralogistic-strategy/cold-chain-storage</x:v>
      </x:c>
      <x:c r="AC35" s="536" t="str">
        <x:v>2026-07-23</x:v>
      </x:c>
    </x:row>
    <x:row r="36">
      <x:c r="A36" s="491" t="str">
        <x:v>TECH007</x:v>
      </x:c>
      <x:c r="B36" s="492" t="str">
        <x:v>VNA / Autonomous Reach Truck</x:v>
      </x:c>
      <x:c r="C36" s="492" t="str">
        <x:v>Yes</x:v>
      </x:c>
      <x:c r="D36" s="492" t="str">
        <x:v>Pallet</x:v>
      </x:c>
      <x:c r="E36" s="541" t="n">
        <x:v>100</x:v>
      </x:c>
      <x:c r="F36" s="541" t="n">
        <x:v>40</x:v>
      </x:c>
      <x:c r="G36" s="541" t="n">
        <x:v>20</x:v>
      </x:c>
      <x:c r="H36" s="541" t="n">
        <x:v>20</x:v>
      </x:c>
      <x:c r="I36" s="541" t="n">
        <x:v>20</x:v>
      </x:c>
      <x:c r="J36" s="541" t="n">
        <x:v>60</x:v>
      </x:c>
      <x:c r="K36" s="541" t="n">
        <x:v>40</x:v>
      </x:c>
      <x:c r="L36" s="541" t="n">
        <x:v>60</x:v>
      </x:c>
      <x:c r="M36" s="541" t="n">
        <x:v>40</x:v>
      </x:c>
      <x:c r="N36" s="541" t="n">
        <x:v>100</x:v>
      </x:c>
      <x:c r="O36" s="541" t="n">
        <x:v>60</x:v>
      </x:c>
      <x:c r="P36" s="541" t="n">
        <x:v>80</x:v>
      </x:c>
      <x:c r="Q36" s="541" t="n">
        <x:v>60</x:v>
      </x:c>
      <x:c r="R36" s="513" t="n">
        <x:v>5</x:v>
      </x:c>
      <x:c r="S36" s="521" t="n">
        <x:v>500</x:v>
      </x:c>
      <x:c r="T36" s="521" t="n">
        <x:v>300</x:v>
      </x:c>
      <x:c r="U36" s="521" t="n">
        <x:v>2</x:v>
      </x:c>
      <x:c r="V36" s="521" t="n">
        <x:v>45</x:v>
      </x:c>
      <x:c r="W36" s="529" t="n">
        <x:v>250000</x:v>
      </x:c>
      <x:c r="X36" s="529" t="n">
        <x:v>1500000</x:v>
      </x:c>
      <x:c r="Y36" s="492" t="str">
        <x:v>Practical pallet-storage automation using narrow aisles and existing-style racking.</x:v>
      </x:c>
      <x:c r="Z36" s="492" t="str">
        <x:v>Need for maximum density, maximum throughput or highly integrated fixed automation.</x:v>
      </x:c>
      <x:c r="AA36" s="492" t="str">
        <x:v>Low (40/100) relative to dedicated ASRS. Automated VNA trucks provide flexible pallet storage and retrieval but fewer simultaneous movements.</x:v>
      </x:c>
      <x:c r="AB36" s="492" t="str">
        <x:v>https://www.jungheinrich.com/en/newsroom/press-releases/automated-warehouse-with-new-contour-control-513516</x:v>
      </x:c>
      <x:c r="AC36" s="537" t="str">
        <x:v>2026-07-23</x:v>
      </x:c>
    </x:row>
    <x:row r="37">
      <x:c r="A37" s="485" t="str">
        <x:v>TECH008</x:v>
      </x:c>
      <x:c r="B37" s="486" t="str">
        <x:v>Vertical Lift Module</x:v>
      </x:c>
      <x:c r="C37" s="486" t="str">
        <x:v>Yes</x:v>
      </x:c>
      <x:c r="D37" s="486" t="str">
        <x:v>Bin</x:v>
      </x:c>
      <x:c r="E37" s="540" t="n">
        <x:v>20</x:v>
      </x:c>
      <x:c r="F37" s="540" t="n">
        <x:v>40</x:v>
      </x:c>
      <x:c r="G37" s="540" t="n">
        <x:v>80</x:v>
      </x:c>
      <x:c r="H37" s="540" t="n">
        <x:v>100</x:v>
      </x:c>
      <x:c r="I37" s="540" t="n">
        <x:v>80</x:v>
      </x:c>
      <x:c r="J37" s="540" t="n">
        <x:v>80</x:v>
      </x:c>
      <x:c r="K37" s="540" t="n">
        <x:v>40</x:v>
      </x:c>
      <x:c r="L37" s="540" t="n">
        <x:v>20</x:v>
      </x:c>
      <x:c r="M37" s="540" t="n">
        <x:v>20</x:v>
      </x:c>
      <x:c r="N37" s="540" t="n">
        <x:v>100</x:v>
      </x:c>
      <x:c r="O37" s="540" t="n">
        <x:v>80</x:v>
      </x:c>
      <x:c r="P37" s="540" t="n">
        <x:v>60</x:v>
      </x:c>
      <x:c r="Q37" s="540" t="n">
        <x:v>40</x:v>
      </x:c>
      <x:c r="R37" s="512" t="n">
        <x:v>3</x:v>
      </x:c>
      <x:c r="S37" s="520" t="n">
        <x:v>500</x:v>
      </x:c>
      <x:c r="T37" s="520" t="n">
        <x:v>50</x:v>
      </x:c>
      <x:c r="U37" s="520" t="n">
        <x:v>2</x:v>
      </x:c>
      <x:c r="V37" s="520" t="n">
        <x:v>50</x:v>
      </x:c>
      <x:c r="W37" s="528" t="n">
        <x:v>250000</x:v>
      </x:c>
      <x:c r="X37" s="528" t="n">
        <x:v>1200000</x:v>
      </x:c>
      <x:c r="Y37" s="486" t="str">
        <x:v>Small parts, tools and spare parts requiring compact storage and ergonomic access.</x:v>
      </x:c>
      <x:c r="Z37" s="486" t="str">
        <x:v>Very high e-commerce throughput, large cartons or full-pallet handling.</x:v>
      </x:c>
      <x:c r="AA37" s="486" t="str">
        <x:v>Low (40/100) relative to large GTP systems. VLMs can reach roughly 350 items/hour depending on configuration, but each unit is workstation-limited.</x:v>
      </x:c>
      <x:c r="AB37" s="486" t="str">
        <x:v>https://www.kardex.com/en-us/blog/vertical-lift-modules-vs-vertical-carousels</x:v>
      </x:c>
      <x:c r="AC37" s="536" t="str">
        <x:v>2026-07-23</x:v>
      </x:c>
    </x:row>
    <x:row r="38">
      <x:c r="A38" s="491" t="str">
        <x:v>TECH009</x:v>
      </x:c>
      <x:c r="B38" s="492" t="str">
        <x:v>Tote Bin-to-Person Robotics</x:v>
      </x:c>
      <x:c r="C38" s="492" t="str">
        <x:v>Yes</x:v>
      </x:c>
      <x:c r="D38" s="492" t="str">
        <x:v>Bin</x:v>
      </x:c>
      <x:c r="E38" s="541" t="n">
        <x:v>20</x:v>
      </x:c>
      <x:c r="F38" s="541" t="n">
        <x:v>80</x:v>
      </x:c>
      <x:c r="G38" s="541" t="n">
        <x:v>100</x:v>
      </x:c>
      <x:c r="H38" s="541" t="n">
        <x:v>100</x:v>
      </x:c>
      <x:c r="I38" s="541" t="n">
        <x:v>100</x:v>
      </x:c>
      <x:c r="J38" s="541" t="n">
        <x:v>80</x:v>
      </x:c>
      <x:c r="K38" s="541" t="n">
        <x:v>100</x:v>
      </x:c>
      <x:c r="L38" s="541" t="n">
        <x:v>40</x:v>
      </x:c>
      <x:c r="M38" s="541" t="n">
        <x:v>20</x:v>
      </x:c>
      <x:c r="N38" s="541" t="n">
        <x:v>100</x:v>
      </x:c>
      <x:c r="O38" s="541" t="n">
        <x:v>100</x:v>
      </x:c>
      <x:c r="P38" s="541" t="n">
        <x:v>100</x:v>
      </x:c>
      <x:c r="Q38" s="541" t="n">
        <x:v>100</x:v>
      </x:c>
      <x:c r="R38" s="513" t="n">
        <x:v>4</x:v>
      </x:c>
      <x:c r="S38" s="521" t="n">
        <x:v>500</x:v>
      </x:c>
      <x:c r="T38" s="521" t="n">
        <x:v>250</x:v>
      </x:c>
      <x:c r="U38" s="521" t="n">
        <x:v>3</x:v>
      </x:c>
      <x:c r="V38" s="521" t="n">
        <x:v>70</x:v>
      </x:c>
      <x:c r="W38" s="529" t="n">
        <x:v>1200000</x:v>
      </x:c>
      <x:c r="X38" s="529" t="n">
        <x:v>6000000</x:v>
      </x:c>
      <x:c r="Y38" s="492" t="str">
        <x:v>High-throughput tote/bin goods-to-person picking with changing SKU mix.</x:v>
      </x:c>
      <x:c r="Z38" s="492" t="str">
        <x:v>Mostly full-pallet operations or weak WMS, master-data and inventory readiness.</x:v>
      </x:c>
      <x:c r="AA38" s="492" t="str">
        <x:v>Very High (100/100). HaiPick deployments report about 700–1,500+ totes/hour, with larger systems designed for up to 4,000 totes/hour.</x:v>
      </x:c>
      <x:c r="AB38" s="492" t="str">
        <x:v>https://www.hairobotics.com/solutions/haipick-climb</x:v>
      </x:c>
      <x:c r="AC38" s="537" t="str">
        <x:v>2026-07-23</x:v>
      </x:c>
    </x:row>
    <x:row r="39">
      <x:c r="A39" s="497" t="str">
        <x:v>TECH010</x:v>
      </x:c>
      <x:c r="B39" s="498" t="str">
        <x:v>Rack-Based Tote Handling System (AirRob-type)</x:v>
      </x:c>
      <x:c r="C39" s="498" t="str">
        <x:v>Yes</x:v>
      </x:c>
      <x:c r="D39" s="498" t="str">
        <x:v>Bin</x:v>
      </x:c>
      <x:c r="E39" s="542" t="n">
        <x:v>20</x:v>
      </x:c>
      <x:c r="F39" s="542" t="n">
        <x:v>80</x:v>
      </x:c>
      <x:c r="G39" s="542" t="n">
        <x:v>100</x:v>
      </x:c>
      <x:c r="H39" s="542" t="n">
        <x:v>100</x:v>
      </x:c>
      <x:c r="I39" s="542" t="n">
        <x:v>80</x:v>
      </x:c>
      <x:c r="J39" s="542" t="n">
        <x:v>80</x:v>
      </x:c>
      <x:c r="K39" s="542" t="n">
        <x:v>80</x:v>
      </x:c>
      <x:c r="L39" s="542" t="n">
        <x:v>40</x:v>
      </x:c>
      <x:c r="M39" s="542" t="n">
        <x:v>20</x:v>
      </x:c>
      <x:c r="N39" s="542" t="n">
        <x:v>100</x:v>
      </x:c>
      <x:c r="O39" s="542" t="n">
        <x:v>80</x:v>
      </x:c>
      <x:c r="P39" s="542" t="n">
        <x:v>100</x:v>
      </x:c>
      <x:c r="Q39" s="542" t="n">
        <x:v>80</x:v>
      </x:c>
      <x:c r="R39" s="514" t="n">
        <x:v>3.5</x:v>
      </x:c>
      <x:c r="S39" s="522" t="n">
        <x:v>500</x:v>
      </x:c>
      <x:c r="T39" s="522" t="n">
        <x:v>150</x:v>
      </x:c>
      <x:c r="U39" s="522" t="n">
        <x:v>2</x:v>
      </x:c>
      <x:c r="V39" s="522" t="n">
        <x:v>60</x:v>
      </x:c>
      <x:c r="W39" s="530" t="n">
        <x:v>800000</x:v>
      </x:c>
      <x:c r="X39" s="530" t="n">
        <x:v>4000000</x:v>
      </x:c>
      <x:c r="Y39" s="498" t="str">
        <x:v>High-density rack-based tote storage, retrieval and goods-to-person picking.</x:v>
      </x:c>
      <x:c r="Z39" s="498" t="str">
        <x:v>Full-pallet operations, oversized items or applications needing the highest verified fixed-system throughput.</x:v>
      </x:c>
      <x:c r="AA39" s="498" t="str">
        <x:v>High (80/100). AirRob is positioned for high-flow tote storage, retrieval and efficient picking, but a comparable verified maximum throughput was not published.</x:v>
      </x:c>
      <x:c r="AB39" s="498" t="str">
        <x:v>https://libiaorobot.com/en/product/airrob</x:v>
      </x:c>
      <x:c r="AC39" s="538" t="str">
        <x:v>2026-07-23</x:v>
      </x:c>
    </x:row>
  </x:sheetData>
  <x:mergeCells>
    <x:mergeCell ref="A1:J1"/>
    <x:mergeCell ref="A2:J2"/>
    <x:mergeCell ref="A4:D4"/>
    <x:mergeCell ref="A9:J9"/>
    <x:mergeCell ref="A18:J18"/>
    <x:mergeCell ref="A20:D20"/>
    <x:mergeCell ref="C21:D21"/>
    <x:mergeCell ref="C22:D22"/>
    <x:mergeCell ref="C23:D23"/>
    <x:mergeCell ref="C24:D24"/>
    <x:mergeCell ref="C25:D25"/>
    <x:mergeCell ref="C26:D26"/>
    <x:mergeCell ref="A28:AC28"/>
  </x:mergeCells>
  <x:conditionalFormatting sqref="J11:J17">
    <x:cfRule type="expression" dxfId="0" priority="1">
      <x:formula>J11&lt;&gt;100</x:formula>
    </x:cfRule>
  </x:conditionalFormatting>
  <x:conditionalFormatting sqref="E30:Q39">
    <x:cfRule type="colorScale" priority="2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dataValidations count="1">
    <x:dataValidation type="whole" errorStyle="stop" operator="between" allowBlank="0" showDropDown="1" showErrorMessage="1" errorTitle="Score must be 0–100" error="Enter a whole-number technology capability score from 0 to 100." sqref="E30:Q39">
      <x:formula1>0</x:formula1>
      <x:formula2>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32" hidden="0" customWidth="1"/>
    <x:col min="4" max="4" width="18" hidden="0" customWidth="1"/>
    <x:col min="5" max="5" width="58" hidden="0" customWidth="1"/>
  </x:cols>
  <x:sheetData>
    <x:row r="1" ht="28" customHeight="1">
      <x:c r="A1" s="546" t="str">
        <x:v>Resources</x:v>
      </x:c>
      <x:c r="B1" s="546"/>
      <x:c r="C1" s="546"/>
      <x:c r="D1" s="546"/>
      <x:c r="E1" s="546"/>
    </x:row>
    <x:row r="2" ht="42" customHeight="1">
      <x:c r="A2" s="550" t="str">
        <x:v>Add one row per resource link. Every link is matched using Vendor ID + Technology ID. Resource URL accepts Google Drive files/folders, YouTube videos, OneDrive, SharePoint, brochures, case studies, and other normal HTTPS links. Resources are for viewing only and do not affect the recommendation score.</x:v>
      </x:c>
      <x:c r="B2" s="550"/>
      <x:c r="C2" s="550"/>
      <x:c r="D2" s="550"/>
      <x:c r="E2" s="550"/>
    </x:row>
    <x:row r="3" ht="36" customHeight="1">
      <x:c r="A3" s="562" t="str">
        <x:v>Vendor ID</x:v>
      </x:c>
      <x:c r="B3" s="563" t="str">
        <x:v>Technology ID</x:v>
      </x:c>
      <x:c r="C3" s="563" t="str">
        <x:v>Resource Name</x:v>
      </x:c>
      <x:c r="D3" s="563" t="str">
        <x:v>Resource Type</x:v>
      </x:c>
      <x:c r="E3" s="564" t="str">
        <x:v>Resource URL</x:v>
      </x:c>
    </x:row>
    <x:row r="4" ht="22" customHeight="1">
      <x:c r="A4" s="592"/>
      <x:c r="B4" s="593"/>
      <x:c r="C4" s="593"/>
      <x:c r="D4" s="593"/>
      <x:c r="E4" s="594"/>
    </x:row>
    <x:row r="5" ht="22" customHeight="1">
      <x:c r="A5" s="586"/>
      <x:c r="B5" s="587"/>
      <x:c r="C5" s="587"/>
      <x:c r="D5" s="587"/>
      <x:c r="E5" s="588"/>
    </x:row>
    <x:row r="6" ht="22" customHeight="1">
      <x:c r="A6" s="595"/>
      <x:c r="B6" s="596"/>
      <x:c r="C6" s="596"/>
      <x:c r="D6" s="596"/>
      <x:c r="E6" s="597"/>
    </x:row>
    <x:row r="7" ht="22" customHeight="1">
      <x:c r="A7" s="586"/>
      <x:c r="B7" s="587"/>
      <x:c r="C7" s="587"/>
      <x:c r="D7" s="587"/>
      <x:c r="E7" s="588"/>
    </x:row>
    <x:row r="8" ht="22" customHeight="1">
      <x:c r="A8" s="595"/>
      <x:c r="B8" s="596"/>
      <x:c r="C8" s="596"/>
      <x:c r="D8" s="596"/>
      <x:c r="E8" s="597"/>
    </x:row>
    <x:row r="9" ht="22" customHeight="1">
      <x:c r="A9" s="586"/>
      <x:c r="B9" s="587"/>
      <x:c r="C9" s="587"/>
      <x:c r="D9" s="587"/>
      <x:c r="E9" s="588"/>
    </x:row>
    <x:row r="10" ht="22" customHeight="1">
      <x:c r="A10" s="595"/>
      <x:c r="B10" s="596"/>
      <x:c r="C10" s="596"/>
      <x:c r="D10" s="596"/>
      <x:c r="E10" s="597"/>
    </x:row>
    <x:row r="11" ht="22" customHeight="1">
      <x:c r="A11" s="586"/>
      <x:c r="B11" s="587"/>
      <x:c r="C11" s="587"/>
      <x:c r="D11" s="587"/>
      <x:c r="E11" s="588"/>
    </x:row>
    <x:row r="12" ht="22" customHeight="1">
      <x:c r="A12" s="595"/>
      <x:c r="B12" s="596"/>
      <x:c r="C12" s="596"/>
      <x:c r="D12" s="596"/>
      <x:c r="E12" s="597"/>
    </x:row>
    <x:row r="13" ht="22" customHeight="1">
      <x:c r="A13" s="586"/>
      <x:c r="B13" s="587"/>
      <x:c r="C13" s="587"/>
      <x:c r="D13" s="587"/>
      <x:c r="E13" s="588"/>
    </x:row>
    <x:row r="14" ht="22" customHeight="1">
      <x:c r="A14" s="595"/>
      <x:c r="B14" s="596"/>
      <x:c r="C14" s="596"/>
      <x:c r="D14" s="596"/>
      <x:c r="E14" s="597"/>
    </x:row>
    <x:row r="15" ht="22" customHeight="1">
      <x:c r="A15" s="586"/>
      <x:c r="B15" s="587"/>
      <x:c r="C15" s="587"/>
      <x:c r="D15" s="587"/>
      <x:c r="E15" s="588"/>
    </x:row>
    <x:row r="16" ht="22" customHeight="1">
      <x:c r="A16" s="595"/>
      <x:c r="B16" s="596"/>
      <x:c r="C16" s="596"/>
      <x:c r="D16" s="596"/>
      <x:c r="E16" s="597"/>
    </x:row>
    <x:row r="17" ht="22" customHeight="1">
      <x:c r="A17" s="586"/>
      <x:c r="B17" s="587"/>
      <x:c r="C17" s="587"/>
      <x:c r="D17" s="587"/>
      <x:c r="E17" s="588"/>
    </x:row>
    <x:row r="18" ht="22" customHeight="1">
      <x:c r="A18" s="595"/>
      <x:c r="B18" s="596"/>
      <x:c r="C18" s="596"/>
      <x:c r="D18" s="596"/>
      <x:c r="E18" s="597"/>
    </x:row>
    <x:row r="19" ht="22" customHeight="1">
      <x:c r="A19" s="586"/>
      <x:c r="B19" s="587"/>
      <x:c r="C19" s="587"/>
      <x:c r="D19" s="587"/>
      <x:c r="E19" s="588"/>
    </x:row>
    <x:row r="20" ht="22" customHeight="1">
      <x:c r="A20" s="595"/>
      <x:c r="B20" s="596"/>
      <x:c r="C20" s="596"/>
      <x:c r="D20" s="596"/>
      <x:c r="E20" s="597"/>
    </x:row>
    <x:row r="21" ht="22" customHeight="1">
      <x:c r="A21" s="586"/>
      <x:c r="B21" s="587"/>
      <x:c r="C21" s="587"/>
      <x:c r="D21" s="587"/>
      <x:c r="E21" s="588"/>
    </x:row>
    <x:row r="22" ht="22" customHeight="1">
      <x:c r="A22" s="595"/>
      <x:c r="B22" s="596"/>
      <x:c r="C22" s="596"/>
      <x:c r="D22" s="596"/>
      <x:c r="E22" s="597"/>
    </x:row>
    <x:row r="23" ht="22" customHeight="1">
      <x:c r="A23" s="586"/>
      <x:c r="B23" s="587"/>
      <x:c r="C23" s="587"/>
      <x:c r="D23" s="587"/>
      <x:c r="E23" s="588"/>
    </x:row>
    <x:row r="24" ht="22" customHeight="1">
      <x:c r="A24" s="595"/>
      <x:c r="B24" s="596"/>
      <x:c r="C24" s="596"/>
      <x:c r="D24" s="596"/>
      <x:c r="E24" s="597"/>
    </x:row>
    <x:row r="25" ht="22" customHeight="1">
      <x:c r="A25" s="586"/>
      <x:c r="B25" s="587"/>
      <x:c r="C25" s="587"/>
      <x:c r="D25" s="587"/>
      <x:c r="E25" s="588"/>
    </x:row>
    <x:row r="26" ht="22" customHeight="1">
      <x:c r="A26" s="595"/>
      <x:c r="B26" s="596"/>
      <x:c r="C26" s="596"/>
      <x:c r="D26" s="596"/>
      <x:c r="E26" s="597"/>
    </x:row>
    <x:row r="27" ht="22" customHeight="1">
      <x:c r="A27" s="586"/>
      <x:c r="B27" s="587"/>
      <x:c r="C27" s="587"/>
      <x:c r="D27" s="587"/>
      <x:c r="E27" s="588"/>
    </x:row>
    <x:row r="28" ht="22" customHeight="1">
      <x:c r="A28" s="595"/>
      <x:c r="B28" s="596"/>
      <x:c r="C28" s="596"/>
      <x:c r="D28" s="596"/>
      <x:c r="E28" s="597"/>
    </x:row>
    <x:row r="29" ht="22" customHeight="1">
      <x:c r="A29" s="586"/>
      <x:c r="B29" s="587"/>
      <x:c r="C29" s="587"/>
      <x:c r="D29" s="587"/>
      <x:c r="E29" s="588"/>
    </x:row>
    <x:row r="30" ht="22" customHeight="1">
      <x:c r="A30" s="595"/>
      <x:c r="B30" s="596"/>
      <x:c r="C30" s="596"/>
      <x:c r="D30" s="596"/>
      <x:c r="E30" s="597"/>
    </x:row>
    <x:row r="31" ht="22" customHeight="1">
      <x:c r="A31" s="586"/>
      <x:c r="B31" s="587"/>
      <x:c r="C31" s="587"/>
      <x:c r="D31" s="587"/>
      <x:c r="E31" s="588"/>
    </x:row>
    <x:row r="32" ht="22" customHeight="1">
      <x:c r="A32" s="595"/>
      <x:c r="B32" s="596"/>
      <x:c r="C32" s="596"/>
      <x:c r="D32" s="596"/>
      <x:c r="E32" s="597"/>
    </x:row>
    <x:row r="33" ht="22" customHeight="1">
      <x:c r="A33" s="586"/>
      <x:c r="B33" s="587"/>
      <x:c r="C33" s="587"/>
      <x:c r="D33" s="587"/>
      <x:c r="E33" s="588"/>
    </x:row>
    <x:row r="34" ht="22" customHeight="1">
      <x:c r="A34" s="595"/>
      <x:c r="B34" s="596"/>
      <x:c r="C34" s="596"/>
      <x:c r="D34" s="596"/>
      <x:c r="E34" s="597"/>
    </x:row>
    <x:row r="35" ht="22" customHeight="1">
      <x:c r="A35" s="586"/>
      <x:c r="B35" s="587"/>
      <x:c r="C35" s="587"/>
      <x:c r="D35" s="587"/>
      <x:c r="E35" s="588"/>
    </x:row>
    <x:row r="36" ht="22" customHeight="1">
      <x:c r="A36" s="595"/>
      <x:c r="B36" s="596"/>
      <x:c r="C36" s="596"/>
      <x:c r="D36" s="596"/>
      <x:c r="E36" s="597"/>
    </x:row>
    <x:row r="37" ht="22" customHeight="1">
      <x:c r="A37" s="586"/>
      <x:c r="B37" s="587"/>
      <x:c r="C37" s="587"/>
      <x:c r="D37" s="587"/>
      <x:c r="E37" s="588"/>
    </x:row>
    <x:row r="38" ht="22" customHeight="1">
      <x:c r="A38" s="595"/>
      <x:c r="B38" s="596"/>
      <x:c r="C38" s="596"/>
      <x:c r="D38" s="596"/>
      <x:c r="E38" s="597"/>
    </x:row>
    <x:row r="39" ht="22" customHeight="1">
      <x:c r="A39" s="586"/>
      <x:c r="B39" s="587"/>
      <x:c r="C39" s="587"/>
      <x:c r="D39" s="587"/>
      <x:c r="E39" s="588"/>
    </x:row>
    <x:row r="40" ht="22" customHeight="1">
      <x:c r="A40" s="595"/>
      <x:c r="B40" s="596"/>
      <x:c r="C40" s="596"/>
      <x:c r="D40" s="596"/>
      <x:c r="E40" s="597"/>
    </x:row>
    <x:row r="41" ht="22" customHeight="1">
      <x:c r="A41" s="586"/>
      <x:c r="B41" s="587"/>
      <x:c r="C41" s="587"/>
      <x:c r="D41" s="587"/>
      <x:c r="E41" s="588"/>
    </x:row>
    <x:row r="42" ht="22" customHeight="1">
      <x:c r="A42" s="595"/>
      <x:c r="B42" s="596"/>
      <x:c r="C42" s="596"/>
      <x:c r="D42" s="596"/>
      <x:c r="E42" s="597"/>
    </x:row>
    <x:row r="43" ht="22" customHeight="1">
      <x:c r="A43" s="586"/>
      <x:c r="B43" s="587"/>
      <x:c r="C43" s="587"/>
      <x:c r="D43" s="587"/>
      <x:c r="E43" s="588"/>
    </x:row>
    <x:row r="44" ht="22" customHeight="1">
      <x:c r="A44" s="595"/>
      <x:c r="B44" s="596"/>
      <x:c r="C44" s="596"/>
      <x:c r="D44" s="596"/>
      <x:c r="E44" s="597"/>
    </x:row>
    <x:row r="45" ht="22" customHeight="1">
      <x:c r="A45" s="586"/>
      <x:c r="B45" s="587"/>
      <x:c r="C45" s="587"/>
      <x:c r="D45" s="587"/>
      <x:c r="E45" s="588"/>
    </x:row>
    <x:row r="46" ht="22" customHeight="1">
      <x:c r="A46" s="595"/>
      <x:c r="B46" s="596"/>
      <x:c r="C46" s="596"/>
      <x:c r="D46" s="596"/>
      <x:c r="E46" s="597"/>
    </x:row>
    <x:row r="47" ht="22" customHeight="1">
      <x:c r="A47" s="586"/>
      <x:c r="B47" s="587"/>
      <x:c r="C47" s="587"/>
      <x:c r="D47" s="587"/>
      <x:c r="E47" s="588"/>
    </x:row>
    <x:row r="48" ht="22" customHeight="1">
      <x:c r="A48" s="595"/>
      <x:c r="B48" s="596"/>
      <x:c r="C48" s="596"/>
      <x:c r="D48" s="596"/>
      <x:c r="E48" s="597"/>
    </x:row>
    <x:row r="49" ht="22" customHeight="1">
      <x:c r="A49" s="586"/>
      <x:c r="B49" s="587"/>
      <x:c r="C49" s="587"/>
      <x:c r="D49" s="587"/>
      <x:c r="E49" s="588"/>
    </x:row>
    <x:row r="50" ht="22" customHeight="1">
      <x:c r="A50" s="595"/>
      <x:c r="B50" s="596"/>
      <x:c r="C50" s="596"/>
      <x:c r="D50" s="596"/>
      <x:c r="E50" s="597"/>
    </x:row>
    <x:row r="51" ht="22" customHeight="1">
      <x:c r="A51" s="586"/>
      <x:c r="B51" s="587"/>
      <x:c r="C51" s="587"/>
      <x:c r="D51" s="587"/>
      <x:c r="E51" s="588"/>
    </x:row>
    <x:row r="52" ht="22" customHeight="1">
      <x:c r="A52" s="595"/>
      <x:c r="B52" s="596"/>
      <x:c r="C52" s="596"/>
      <x:c r="D52" s="596"/>
      <x:c r="E52" s="597"/>
    </x:row>
    <x:row r="53" ht="22" customHeight="1">
      <x:c r="A53" s="589"/>
      <x:c r="B53" s="590"/>
      <x:c r="C53" s="590"/>
      <x:c r="D53" s="590"/>
      <x:c r="E53" s="591"/>
    </x:row>
  </x:sheetData>
  <x:mergeCells>
    <x:mergeCell ref="A1:E1"/>
    <x:mergeCell ref="A2:E2"/>
  </x:mergeCells>
  <x:dataValidations count="3">
    <x:dataValidation type="list" allowBlank="1" sqref="A4:A53">
      <x:formula1>'Vendor Library'!$C$4:$C$17</x:formula1>
    </x:dataValidation>
    <x:dataValidation type="list" allowBlank="1" sqref="B4:B53">
      <x:formula1>'Technology Performance Database'!$A$30:$A$39</x:formula1>
    </x:dataValidation>
    <x:dataValidation type="list" allowBlank="1" sqref="D4:D53">
      <x:formula1>"Video,Folder,Brochure,Case Study,Product Page,Other"</x:formula1>
    </x:dataValidation>
  </x:dataValidations>
  <x:pageMargins left="0.7" right="0.7" top="0.75" bottom="0.75" header="0.3" footer="0.3"/>
</x:worksheet>
</file>