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gen\Downloads\Vendor Folder\"/>
    </mc:Choice>
  </mc:AlternateContent>
  <xr:revisionPtr revIDLastSave="0" documentId="13_ncr:1_{B75445A3-538B-4E23-AE38-D7B2C055BDE8}" xr6:coauthVersionLast="47" xr6:coauthVersionMax="47" xr10:uidLastSave="{00000000-0000-0000-0000-000000000000}"/>
  <bookViews>
    <workbookView xWindow="5880" yWindow="2850" windowWidth="17280" windowHeight="10650" activeTab="2" xr2:uid="{00000000-000D-0000-FFFF-FFFF00000000}"/>
  </bookViews>
  <sheets>
    <sheet name="Vendor Library" sheetId="1" r:id="rId1"/>
    <sheet name="Technology Performance Database" sheetId="2" r:id="rId2"/>
    <sheet name="Re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J16" i="2"/>
  <c r="J15" i="2"/>
  <c r="J14" i="2"/>
  <c r="J13" i="2"/>
  <c r="J12" i="2"/>
  <c r="J11" i="2"/>
</calcChain>
</file>

<file path=xl/sharedStrings.xml><?xml version="1.0" encoding="utf-8"?>
<sst xmlns="http://schemas.openxmlformats.org/spreadsheetml/2006/main" count="261" uniqueCount="194">
  <si>
    <t>Vendor Library</t>
  </si>
  <si>
    <t>Vendor catalogue for early-stage technology screening. Vendor ID identifies the vendor and repeats when the same vendor offers multiple Technology IDs. Sheet 2 controls the calculation logic used by the HTML.</t>
  </si>
  <si>
    <t>Vendor Name</t>
  </si>
  <si>
    <t>Website</t>
  </si>
  <si>
    <t>Vendor ID</t>
  </si>
  <si>
    <t>Technology ID</t>
  </si>
  <si>
    <t>Technology Name</t>
  </si>
  <si>
    <t>Vendor Minimum Budget</t>
  </si>
  <si>
    <t>Daifuku</t>
  </si>
  <si>
    <t>https://www.daifuku.com/</t>
  </si>
  <si>
    <t>VEND001</t>
  </si>
  <si>
    <t>TECH003</t>
  </si>
  <si>
    <t>Pallet ASRS</t>
  </si>
  <si>
    <t>Dematic</t>
  </si>
  <si>
    <t>https://www.dematic.com/</t>
  </si>
  <si>
    <t>VEND002</t>
  </si>
  <si>
    <t>SSI Schaefer</t>
  </si>
  <si>
    <t>https://www.ssi-schaefer.com/en-asia</t>
  </si>
  <si>
    <t>VEND003</t>
  </si>
  <si>
    <t>TECH006</t>
  </si>
  <si>
    <t>Pallet Shuttle</t>
  </si>
  <si>
    <t>HWA Robotics</t>
  </si>
  <si>
    <t>https://www.hwarobotics.com/</t>
  </si>
  <si>
    <t>VEND004</t>
  </si>
  <si>
    <t>TECH004</t>
  </si>
  <si>
    <t>4-Way Shuttle</t>
  </si>
  <si>
    <t>Jungheinrich</t>
  </si>
  <si>
    <t>https://www.jungheinrich.com/</t>
  </si>
  <si>
    <t>VEND005</t>
  </si>
  <si>
    <t>TECH007</t>
  </si>
  <si>
    <t>VNA / Autonomous Reach Truck</t>
  </si>
  <si>
    <t>Kardex</t>
  </si>
  <si>
    <t>https://www.kardex.com/</t>
  </si>
  <si>
    <t>VEND006</t>
  </si>
  <si>
    <t>TECH008</t>
  </si>
  <si>
    <t>Vertical Lift Module</t>
  </si>
  <si>
    <t>Modula</t>
  </si>
  <si>
    <t>https://www.modula.eu/</t>
  </si>
  <si>
    <t>VEND007</t>
  </si>
  <si>
    <t>TECH002</t>
  </si>
  <si>
    <t>Miniload ASRS</t>
  </si>
  <si>
    <t>AutoStore</t>
  </si>
  <si>
    <t>https://www.autostoresystem.com/</t>
  </si>
  <si>
    <t>VEND008</t>
  </si>
  <si>
    <t>TECH001</t>
  </si>
  <si>
    <t>Cube Storage System</t>
  </si>
  <si>
    <t>Hai Robotics</t>
  </si>
  <si>
    <t>https://www.hairobotics.com/</t>
  </si>
  <si>
    <t>VEND009</t>
  </si>
  <si>
    <t>TECH009</t>
  </si>
  <si>
    <t>Tote Bin-to-Person Robotics</t>
  </si>
  <si>
    <t>Libiao Robotics</t>
  </si>
  <si>
    <t>https://www.libiaorobot.com/</t>
  </si>
  <si>
    <t>VEND010</t>
  </si>
  <si>
    <t>TECH010</t>
  </si>
  <si>
    <t>Rack-Based Tote Handling System (AirRob-type)</t>
  </si>
  <si>
    <t>Geek+</t>
  </si>
  <si>
    <t>https://www.geekplus.com/</t>
  </si>
  <si>
    <t>VEND011</t>
  </si>
  <si>
    <t>TECH005</t>
  </si>
  <si>
    <t>AMR Goods-to-Person</t>
  </si>
  <si>
    <t>Quicktron</t>
  </si>
  <si>
    <t>https://www.quicktron.com/</t>
  </si>
  <si>
    <t>VEND012</t>
  </si>
  <si>
    <t>Technology Scoring Model and Technology Ratings</t>
  </si>
  <si>
    <t>This sheet has two controls only: (1) the objective matrix determines category weightage, and (2) the technology table provides 0–100 capability scores and indicative feasibility requirements. Final designs still require vendor simulation and engineering validation.</t>
  </si>
  <si>
    <t>G. Primary and Secondary Objective Blend</t>
  </si>
  <si>
    <t>Objective Blend Setting</t>
  </si>
  <si>
    <t>Value</t>
  </si>
  <si>
    <t>Unit</t>
  </si>
  <si>
    <t>Meaning</t>
  </si>
  <si>
    <t>G. Primary Objective Blend</t>
  </si>
  <si>
    <t>%</t>
  </si>
  <si>
    <t>The selected primary objective contributes 70% of the final category weightage.</t>
  </si>
  <si>
    <t>G. Secondary Objective Blend</t>
  </si>
  <si>
    <t>The selected secondary objective contributes 30% of the final category weightage.</t>
  </si>
  <si>
    <t>Dynamic Objective Weightage Matrix — category points out of 100</t>
  </si>
  <si>
    <t>Business Objective</t>
  </si>
  <si>
    <t>A. Building</t>
  </si>
  <si>
    <t>B &amp; I. Data Readiness</t>
  </si>
  <si>
    <t>C &amp; E. Throughput</t>
  </si>
  <si>
    <t>D. Density</t>
  </si>
  <si>
    <t>D &amp; E. Product Fit</t>
  </si>
  <si>
    <t>F. Labour</t>
  </si>
  <si>
    <t>H. Scalability</t>
  </si>
  <si>
    <t>A. Budget</t>
  </si>
  <si>
    <t>Total</t>
  </si>
  <si>
    <t>D. Maximise storage density</t>
  </si>
  <si>
    <t>E. Increase throughput</t>
  </si>
  <si>
    <t>F. Reduce labour</t>
  </si>
  <si>
    <t>E. Improve picking accuracy</t>
  </si>
  <si>
    <t>A. Improve site fit / ergonomics</t>
  </si>
  <si>
    <t>H. Improve scalability</t>
  </si>
  <si>
    <t>A. Reduce cost</t>
  </si>
  <si>
    <t>Final category weight = 70% of the selected primary-objective row + 30% of the selected secondary-objective row. If both objectives are the same, that row contributes 100%.</t>
  </si>
  <si>
    <t>Technology Capability Score Scale (0–100)</t>
  </si>
  <si>
    <t>Score Band</t>
  </si>
  <si>
    <t>Label</t>
  </si>
  <si>
    <t>0–20</t>
  </si>
  <si>
    <t>Very Low</t>
  </si>
  <si>
    <t>Not intended for this requirement or a strong mismatch.</t>
  </si>
  <si>
    <t>21–40</t>
  </si>
  <si>
    <t>Low</t>
  </si>
  <si>
    <t>Limited capability; suitable only in narrow or low-volume cases.</t>
  </si>
  <si>
    <t>41–60</t>
  </si>
  <si>
    <t>Moderate</t>
  </si>
  <si>
    <t>Workable capability for typical applications.</t>
  </si>
  <si>
    <t>61–80</t>
  </si>
  <si>
    <t>High</t>
  </si>
  <si>
    <t>Strong capability and a common application strength.</t>
  </si>
  <si>
    <t>81–100</t>
  </si>
  <si>
    <t>Very High</t>
  </si>
  <si>
    <t>Core technology strength or among the strongest options in the shortlist.</t>
  </si>
  <si>
    <t>Technology Capability and Feasibility Database</t>
  </si>
  <si>
    <t>Enabled</t>
  </si>
  <si>
    <t>Family</t>
  </si>
  <si>
    <t>Pallet Fit</t>
  </si>
  <si>
    <t>Carton Fit</t>
  </si>
  <si>
    <t>Tote/Bin Fit</t>
  </si>
  <si>
    <t>Small Item Fit</t>
  </si>
  <si>
    <t>Piece Pick Fit</t>
  </si>
  <si>
    <t>Density Capability</t>
  </si>
  <si>
    <t>Outbound Throughput Capability</t>
  </si>
  <si>
    <t>Inbound Pallet Capability</t>
  </si>
  <si>
    <t>Deep-Lane Suitability</t>
  </si>
  <si>
    <t>Random Access Capability</t>
  </si>
  <si>
    <t>Labour Saving Capability</t>
  </si>
  <si>
    <t>Flexibility</t>
  </si>
  <si>
    <t>Scalability</t>
  </si>
  <si>
    <t>Indicative Minimum Height</t>
  </si>
  <si>
    <t>Indicative Minimum Floor Load</t>
  </si>
  <si>
    <t>Indicative Minimum Floor Area</t>
  </si>
  <si>
    <t>Indicative Minimum Lease Years</t>
  </si>
  <si>
    <t>Minimum Data Readiness</t>
  </si>
  <si>
    <t>Technology Budget Min</t>
  </si>
  <si>
    <t>Technology Budget Max</t>
  </si>
  <si>
    <t>Best Fit</t>
  </si>
  <si>
    <t>Less Suitable When</t>
  </si>
  <si>
    <t>Why This Outbound Throughput Rating</t>
  </si>
  <si>
    <t>Reference Source</t>
  </si>
  <si>
    <t>Last Updated</t>
  </si>
  <si>
    <t>Yes</t>
  </si>
  <si>
    <t>Bin</t>
  </si>
  <si>
    <t>High-density tote/bin storage, high SKU count and goods-to-person piece picking.</t>
  </si>
  <si>
    <t>Full-pallet operations, oversized items or facilities unable to support a grid structure.</t>
  </si>
  <si>
    <t>Very High (100/100). AutoStore workstations handle up to 650 bins/hour per port, and system throughput scales by adding ports.</t>
  </si>
  <si>
    <t>https://www.autostoresystem.com/system/workstations/relay-port</t>
  </si>
  <si>
    <t>2026-07-23</t>
  </si>
  <si>
    <t>High-volume tote, tray or case storage requiring controlled inventory and fast retrieval.</t>
  </si>
  <si>
    <t>Very small facilities, low volume, short lease or weak system/data readiness.</t>
  </si>
  <si>
    <t>High (80/100). Fixed-aisle miniload cranes are designed for fast, high-volume container and case retrieval; capacity scales by aisle and crane count.</t>
  </si>
  <si>
    <t>https://www.daifuku.com/solution/intralogistics/products/automated-warehouse/miniload-asrs/</t>
  </si>
  <si>
    <t>Pallet</t>
  </si>
  <si>
    <t>High pallet inventory, tall buildings, stable pallet flows and long-term facilities.</t>
  </si>
  <si>
    <t>Low pallet volume, short lease, low clear height or piece-pick-heavy operations.</t>
  </si>
  <si>
    <t>Moderate (60/100) for outbound order fulfilment. It provides strong pallet storage and retrieval but moves pallets rather than individual order lines.</t>
  </si>
  <si>
    <t>https://www.daifuku.com/solution/intralogistics/products/automated-warehouse/types-features/</t>
  </si>
  <si>
    <t>Dense pallet storage requiring random access, flexible routing and future expansion.</t>
  </si>
  <si>
    <t>Very low budget, very small facilities or operations dominated by small-item piece picking.</t>
  </si>
  <si>
    <t>High (80/100) for pallet flow. Multiple shuttles and lifts provide scalable storage and retrieval, but it is not a direct piece-picking system.</t>
  </si>
  <si>
    <t>https://www.ssi-schaefer.com/en-asia/products/storage/automated-storage/automated-storage-systems-for-pallets/ssi-pallet-roaming-shuttle</t>
  </si>
  <si>
    <t>Mobile/Bin</t>
  </si>
  <si>
    <t>Flexible phased automation, travel reduction, mixed SKUs and shorter leases.</t>
  </si>
  <si>
    <t>Maximum-density requirements or the highest fixed-system throughput requirements.</t>
  </si>
  <si>
    <t>High (80/100). Goods-to-person AMRs commonly improve picking productivity two to three times, while peak capacity depends on robot and workstation count.</t>
  </si>
  <si>
    <t>https://www.geekplus.com/resources/product-brochures/pickingflyer-1</t>
  </si>
  <si>
    <t>Dense multi-deep pallet lanes with grouped SKUs, batches or velocity classes.</t>
  </si>
  <si>
    <t>Many low-quantity SKUs requiring immediate direct access to every pallet.</t>
  </si>
  <si>
    <t>Moderate (60/100). It supports efficient high-density pallet movement, but lane structure limits immediate random access compared with dedicated cranes or 4-way systems.</t>
  </si>
  <si>
    <t>https://www.ssi-schaefer.com/en-asia/solutions/by-intralogistic-strategy/cold-chain-storage</t>
  </si>
  <si>
    <t>Practical pallet-storage automation using narrow aisles and existing-style racking.</t>
  </si>
  <si>
    <t>Need for maximum density, maximum throughput or highly integrated fixed automation.</t>
  </si>
  <si>
    <t>Low (40/100) relative to dedicated ASRS. Automated VNA trucks provide flexible pallet storage and retrieval but fewer simultaneous movements.</t>
  </si>
  <si>
    <t>https://www.jungheinrich.com/en/newsroom/press-releases/automated-warehouse-with-new-contour-control-513516</t>
  </si>
  <si>
    <t>Small parts, tools and spare parts requiring compact storage and ergonomic access.</t>
  </si>
  <si>
    <t>Very high e-commerce throughput, large cartons or full-pallet handling.</t>
  </si>
  <si>
    <t>Low (40/100) relative to large GTP systems. VLMs can reach roughly 350 items/hour depending on configuration, but each unit is workstation-limited.</t>
  </si>
  <si>
    <t>https://www.kardex.com/en-us/blog/vertical-lift-modules-vs-vertical-carousels</t>
  </si>
  <si>
    <t>High-throughput tote/bin goods-to-person picking with changing SKU mix.</t>
  </si>
  <si>
    <t>Mostly full-pallet operations or weak WMS, master-data and inventory readiness.</t>
  </si>
  <si>
    <t>Very High (100/100). HaiPick deployments report about 700–1,500+ totes/hour, with larger systems designed for up to 4,000 totes/hour.</t>
  </si>
  <si>
    <t>https://www.hairobotics.com/solutions/haipick-climb</t>
  </si>
  <si>
    <t>High-density rack-based tote storage, retrieval and goods-to-person picking.</t>
  </si>
  <si>
    <t>Full-pallet operations, oversized items or applications needing the highest verified fixed-system throughput.</t>
  </si>
  <si>
    <t>High (80/100). AirRob is positioned for high-flow tote storage, retrieval and efficient picking, but a comparable verified maximum throughput was not published.</t>
  </si>
  <si>
    <t>https://libiaorobot.com/en/product/airrob</t>
  </si>
  <si>
    <t>Resources</t>
  </si>
  <si>
    <t>Add one row per resource link. Every link is matched using Vendor ID + Technology ID. Resource URL accepts Google Drive files/folders, YouTube videos, OneDrive, SharePoint, brochures, case studies, and other normal HTTPS links. Resources are for viewing only and do not affect the recommendation score.</t>
  </si>
  <si>
    <t>Resource Name</t>
  </si>
  <si>
    <t>Resource Type</t>
  </si>
  <si>
    <t>Resource URL</t>
  </si>
  <si>
    <t>Video</t>
  </si>
  <si>
    <t>Testing</t>
  </si>
  <si>
    <t>https://drive.google.com/drive/folders/1HKBj6hILyK6fS1WKv2E_P0bIkiGrbv2V?usp=sharing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</si>
</sst>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GD &quot;#,##0"/>
    <numFmt numFmtId="165" formatCode="0.0"/>
    <numFmt numFmtId="166" formatCode="yyyy\-mm\-dd"/>
  </numFmts>
  <fonts count="16">
    <font>
      <sz val="11"/>
      <name val="Carlito"/>
    </font>
    <font>
      <b/>
      <sz val="16"/>
      <color rgb="FFFFFFFF"/>
      <name val="Carlito"/>
    </font>
    <font>
      <b/>
      <sz val="10"/>
      <color rgb="FF7C2D12"/>
      <name val="Carlito"/>
    </font>
    <font>
      <b/>
      <sz val="10"/>
      <color rgb="FFFFFFFF"/>
      <name val="Carlito"/>
    </font>
    <font>
      <sz val="10"/>
      <color rgb="FF17324D"/>
      <name val="Carlito"/>
    </font>
    <font>
      <b/>
      <sz val="12"/>
      <color rgb="FFFFFFFF"/>
      <name val="Carlito"/>
    </font>
    <font>
      <sz val="11"/>
      <color rgb="FF17324D"/>
      <name val="Carlito"/>
    </font>
    <font>
      <b/>
      <sz val="11"/>
      <color rgb="FF9A3412"/>
      <name val="Carlito"/>
    </font>
    <font>
      <b/>
      <sz val="11"/>
      <color rgb="FF17324D"/>
      <name val="Carlito"/>
    </font>
    <font>
      <b/>
      <sz val="11"/>
      <color rgb="FF166534"/>
      <name val="Carlito"/>
    </font>
    <font>
      <i/>
      <sz val="10"/>
      <color rgb="FF17324D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sz val="9"/>
      <color rgb="FF17324D"/>
      <name val="Carlito"/>
    </font>
    <font>
      <b/>
      <sz val="18"/>
      <color rgb="FFFFFFFF"/>
      <name val="Carlito"/>
    </font>
    <font>
      <u/>
      <sz val="11"/>
      <color theme="1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B5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0F8F83"/>
      </patternFill>
    </fill>
    <fill>
      <patternFill patternType="solid">
        <fgColor rgb="FFD9EAF7"/>
      </patternFill>
    </fill>
    <fill>
      <patternFill patternType="solid">
        <fgColor rgb="FFD9F2E6"/>
      </patternFill>
    </fill>
    <fill>
      <patternFill patternType="solid">
        <fgColor rgb="FF0F355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8FAFC"/>
      </patternFill>
    </fill>
  </fills>
  <borders count="25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D9E0EA"/>
      </top>
      <bottom/>
      <diagonal/>
    </border>
    <border>
      <left/>
      <right style="thin">
        <color rgb="FFD9E0EA"/>
      </right>
      <top style="thin">
        <color rgb="FFD9E0EA"/>
      </top>
      <bottom/>
      <diagonal/>
    </border>
    <border>
      <left style="thin">
        <color rgb="FFD9E0EA"/>
      </left>
      <right/>
      <top/>
      <bottom/>
      <diagonal/>
    </border>
    <border>
      <left/>
      <right style="thin">
        <color rgb="FFD9E0EA"/>
      </right>
      <top/>
      <bottom/>
      <diagonal/>
    </border>
    <border>
      <left style="thin">
        <color rgb="FFD9E0EA"/>
      </left>
      <right/>
      <top/>
      <bottom style="thin">
        <color rgb="FFD9E0EA"/>
      </bottom>
      <diagonal/>
    </border>
    <border>
      <left/>
      <right/>
      <top/>
      <bottom style="thin">
        <color rgb="FFD9E0EA"/>
      </bottom>
      <diagonal/>
    </border>
    <border>
      <left/>
      <right style="thin">
        <color rgb="FFD9E0EA"/>
      </right>
      <top/>
      <bottom style="thin">
        <color rgb="FFD9E0EA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164" fontId="4" fillId="5" borderId="6" xfId="0" applyNumberFormat="1" applyFont="1" applyFill="1" applyBorder="1" applyAlignment="1">
      <alignment vertical="center" wrapText="1"/>
    </xf>
    <xf numFmtId="164" fontId="4" fillId="6" borderId="8" xfId="0" applyNumberFormat="1" applyFont="1" applyFill="1" applyBorder="1" applyAlignment="1">
      <alignment vertical="center" wrapText="1"/>
    </xf>
    <xf numFmtId="164" fontId="4" fillId="5" borderId="8" xfId="0" applyNumberFormat="1" applyFont="1" applyFill="1" applyBorder="1" applyAlignment="1">
      <alignment vertical="center" wrapText="1"/>
    </xf>
    <xf numFmtId="164" fontId="4" fillId="6" borderId="11" xfId="0" applyNumberFormat="1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8" borderId="10" xfId="0" applyFont="1" applyFill="1" applyBorder="1" applyAlignment="1">
      <alignment vertical="center" wrapText="1"/>
    </xf>
    <xf numFmtId="0" fontId="6" fillId="8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8" borderId="12" xfId="0" applyFont="1" applyFill="1" applyBorder="1" applyAlignment="1">
      <alignment vertical="center" wrapText="1"/>
    </xf>
    <xf numFmtId="0" fontId="8" fillId="8" borderId="14" xfId="0" applyFont="1" applyFill="1" applyBorder="1" applyAlignment="1">
      <alignment vertical="center" wrapText="1"/>
    </xf>
    <xf numFmtId="0" fontId="8" fillId="8" borderId="1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3" fillId="6" borderId="9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vertical="center" wrapText="1"/>
    </xf>
    <xf numFmtId="165" fontId="13" fillId="5" borderId="5" xfId="0" applyNumberFormat="1" applyFont="1" applyFill="1" applyBorder="1" applyAlignment="1">
      <alignment vertical="center" wrapText="1"/>
    </xf>
    <xf numFmtId="165" fontId="13" fillId="6" borderId="0" xfId="0" applyNumberFormat="1" applyFont="1" applyFill="1" applyAlignment="1">
      <alignment vertical="center" wrapText="1"/>
    </xf>
    <xf numFmtId="165" fontId="13" fillId="5" borderId="0" xfId="0" applyNumberFormat="1" applyFont="1" applyFill="1" applyAlignment="1">
      <alignment vertical="center" wrapText="1"/>
    </xf>
    <xf numFmtId="165" fontId="13" fillId="6" borderId="10" xfId="0" applyNumberFormat="1" applyFont="1" applyFill="1" applyBorder="1" applyAlignment="1">
      <alignment vertical="center" wrapText="1"/>
    </xf>
    <xf numFmtId="1" fontId="13" fillId="5" borderId="5" xfId="0" applyNumberFormat="1" applyFont="1" applyFill="1" applyBorder="1" applyAlignment="1">
      <alignment vertical="center" wrapText="1"/>
    </xf>
    <xf numFmtId="1" fontId="13" fillId="6" borderId="0" xfId="0" applyNumberFormat="1" applyFont="1" applyFill="1" applyAlignment="1">
      <alignment vertical="center" wrapText="1"/>
    </xf>
    <xf numFmtId="1" fontId="13" fillId="5" borderId="0" xfId="0" applyNumberFormat="1" applyFont="1" applyFill="1" applyAlignment="1">
      <alignment vertical="center" wrapText="1"/>
    </xf>
    <xf numFmtId="1" fontId="13" fillId="6" borderId="10" xfId="0" applyNumberFormat="1" applyFont="1" applyFill="1" applyBorder="1" applyAlignment="1">
      <alignment vertical="center" wrapText="1"/>
    </xf>
    <xf numFmtId="164" fontId="13" fillId="5" borderId="5" xfId="0" applyNumberFormat="1" applyFont="1" applyFill="1" applyBorder="1" applyAlignment="1">
      <alignment vertical="center" wrapText="1"/>
    </xf>
    <xf numFmtId="164" fontId="13" fillId="6" borderId="0" xfId="0" applyNumberFormat="1" applyFont="1" applyFill="1" applyAlignment="1">
      <alignment vertical="center" wrapText="1"/>
    </xf>
    <xf numFmtId="164" fontId="13" fillId="5" borderId="0" xfId="0" applyNumberFormat="1" applyFont="1" applyFill="1" applyAlignment="1">
      <alignment vertical="center" wrapText="1"/>
    </xf>
    <xf numFmtId="164" fontId="13" fillId="6" borderId="10" xfId="0" applyNumberFormat="1" applyFont="1" applyFill="1" applyBorder="1" applyAlignment="1">
      <alignment vertical="center" wrapText="1"/>
    </xf>
    <xf numFmtId="166" fontId="13" fillId="5" borderId="6" xfId="0" applyNumberFormat="1" applyFont="1" applyFill="1" applyBorder="1" applyAlignment="1">
      <alignment vertical="center" wrapText="1"/>
    </xf>
    <xf numFmtId="166" fontId="13" fillId="6" borderId="8" xfId="0" applyNumberFormat="1" applyFont="1" applyFill="1" applyBorder="1" applyAlignment="1">
      <alignment vertical="center" wrapText="1"/>
    </xf>
    <xf numFmtId="166" fontId="13" fillId="5" borderId="8" xfId="0" applyNumberFormat="1" applyFont="1" applyFill="1" applyBorder="1" applyAlignment="1">
      <alignment vertical="center" wrapText="1"/>
    </xf>
    <xf numFmtId="166" fontId="13" fillId="6" borderId="11" xfId="0" applyNumberFormat="1" applyFont="1" applyFill="1" applyBorder="1" applyAlignment="1">
      <alignment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1" fontId="13" fillId="6" borderId="0" xfId="0" applyNumberFormat="1" applyFont="1" applyFill="1" applyAlignment="1">
      <alignment horizontal="center" vertical="center" wrapText="1"/>
    </xf>
    <xf numFmtId="1" fontId="13" fillId="5" borderId="0" xfId="0" applyNumberFormat="1" applyFont="1" applyFill="1" applyAlignment="1">
      <alignment horizontal="center" vertical="center" wrapText="1"/>
    </xf>
    <xf numFmtId="1" fontId="13" fillId="6" borderId="10" xfId="0" applyNumberFormat="1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13" borderId="18" xfId="0" applyFill="1" applyBorder="1" applyAlignment="1">
      <alignment vertical="center" wrapText="1"/>
    </xf>
    <xf numFmtId="0" fontId="0" fillId="13" borderId="20" xfId="0" applyFill="1" applyBorder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3" borderId="21" xfId="0" applyFill="1" applyBorder="1" applyAlignment="1">
      <alignment vertical="center" wrapText="1"/>
    </xf>
    <xf numFmtId="0" fontId="15" fillId="13" borderId="19" xfId="1" applyFill="1" applyBorder="1" applyAlignment="1">
      <alignment vertical="center" wrapText="1"/>
    </xf>
    <xf numFmtId="0" fontId="14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0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KBj6hILyK6fS1WKv2E_P0bIkiGrbv2V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D4" sqref="D4"/>
    </sheetView>
  </sheetViews>
  <sheetFormatPr defaultRowHeight="14.25"/>
  <cols>
    <col min="1" max="1" width="22" customWidth="1"/>
    <col min="2" max="2" width="34" customWidth="1"/>
    <col min="3" max="4" width="14" customWidth="1"/>
    <col min="5" max="5" width="34" customWidth="1"/>
    <col min="6" max="6" width="20" customWidth="1"/>
  </cols>
  <sheetData>
    <row r="1" spans="1:6" ht="27.95" customHeight="1">
      <c r="A1" s="92" t="s">
        <v>0</v>
      </c>
      <c r="B1" s="92"/>
      <c r="C1" s="92"/>
      <c r="D1" s="92"/>
      <c r="E1" s="92"/>
      <c r="F1" s="92"/>
    </row>
    <row r="2" spans="1:6" ht="38.1" customHeight="1">
      <c r="A2" s="93" t="s">
        <v>1</v>
      </c>
      <c r="B2" s="93"/>
      <c r="C2" s="93"/>
      <c r="D2" s="93"/>
      <c r="E2" s="93"/>
      <c r="F2" s="93"/>
    </row>
    <row r="3" spans="1:6" ht="36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</row>
    <row r="4" spans="1:6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12">
        <v>3000000</v>
      </c>
    </row>
    <row r="5" spans="1:6">
      <c r="A5" s="6" t="s">
        <v>13</v>
      </c>
      <c r="B5" s="7" t="s">
        <v>14</v>
      </c>
      <c r="C5" s="7" t="s">
        <v>15</v>
      </c>
      <c r="D5" s="7" t="s">
        <v>11</v>
      </c>
      <c r="E5" s="7" t="s">
        <v>12</v>
      </c>
      <c r="F5" s="13">
        <v>3000000</v>
      </c>
    </row>
    <row r="6" spans="1:6">
      <c r="A6" s="8" t="s">
        <v>16</v>
      </c>
      <c r="B6" s="9" t="s">
        <v>17</v>
      </c>
      <c r="C6" s="9" t="s">
        <v>18</v>
      </c>
      <c r="D6" s="9" t="s">
        <v>19</v>
      </c>
      <c r="E6" s="9" t="s">
        <v>20</v>
      </c>
      <c r="F6" s="14">
        <v>800000</v>
      </c>
    </row>
    <row r="7" spans="1:6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13">
        <v>2500000</v>
      </c>
    </row>
    <row r="8" spans="1:6">
      <c r="A8" s="8" t="s">
        <v>26</v>
      </c>
      <c r="B8" s="9" t="s">
        <v>27</v>
      </c>
      <c r="C8" s="9" t="s">
        <v>28</v>
      </c>
      <c r="D8" s="9" t="s">
        <v>29</v>
      </c>
      <c r="E8" s="9" t="s">
        <v>30</v>
      </c>
      <c r="F8" s="14">
        <v>250000</v>
      </c>
    </row>
    <row r="9" spans="1:6">
      <c r="A9" s="6" t="s">
        <v>31</v>
      </c>
      <c r="B9" s="7" t="s">
        <v>32</v>
      </c>
      <c r="C9" s="7" t="s">
        <v>33</v>
      </c>
      <c r="D9" s="7" t="s">
        <v>34</v>
      </c>
      <c r="E9" s="7" t="s">
        <v>35</v>
      </c>
      <c r="F9" s="13">
        <v>250000</v>
      </c>
    </row>
    <row r="10" spans="1:6">
      <c r="A10" s="8" t="s">
        <v>36</v>
      </c>
      <c r="B10" s="9" t="s">
        <v>37</v>
      </c>
      <c r="C10" s="9" t="s">
        <v>38</v>
      </c>
      <c r="D10" s="9" t="s">
        <v>34</v>
      </c>
      <c r="E10" s="9" t="s">
        <v>35</v>
      </c>
      <c r="F10" s="14">
        <v>250000</v>
      </c>
    </row>
    <row r="11" spans="1:6">
      <c r="A11" s="6" t="s">
        <v>8</v>
      </c>
      <c r="B11" s="7" t="s">
        <v>9</v>
      </c>
      <c r="C11" s="7" t="s">
        <v>10</v>
      </c>
      <c r="D11" s="7" t="s">
        <v>39</v>
      </c>
      <c r="E11" s="7" t="s">
        <v>40</v>
      </c>
      <c r="F11" s="13">
        <v>1500000</v>
      </c>
    </row>
    <row r="12" spans="1:6">
      <c r="A12" s="8" t="s">
        <v>16</v>
      </c>
      <c r="B12" s="9" t="s">
        <v>17</v>
      </c>
      <c r="C12" s="9" t="s">
        <v>18</v>
      </c>
      <c r="D12" s="9" t="s">
        <v>39</v>
      </c>
      <c r="E12" s="9" t="s">
        <v>40</v>
      </c>
      <c r="F12" s="14">
        <v>1500000</v>
      </c>
    </row>
    <row r="13" spans="1:6">
      <c r="A13" s="6" t="s">
        <v>41</v>
      </c>
      <c r="B13" s="7" t="s">
        <v>42</v>
      </c>
      <c r="C13" s="7" t="s">
        <v>43</v>
      </c>
      <c r="D13" s="7" t="s">
        <v>44</v>
      </c>
      <c r="E13" s="7" t="s">
        <v>45</v>
      </c>
      <c r="F13" s="13">
        <v>1800000</v>
      </c>
    </row>
    <row r="14" spans="1:6">
      <c r="A14" s="8" t="s">
        <v>46</v>
      </c>
      <c r="B14" s="9" t="s">
        <v>47</v>
      </c>
      <c r="C14" s="9" t="s">
        <v>48</v>
      </c>
      <c r="D14" s="9" t="s">
        <v>49</v>
      </c>
      <c r="E14" s="9" t="s">
        <v>50</v>
      </c>
      <c r="F14" s="14">
        <v>1200000</v>
      </c>
    </row>
    <row r="15" spans="1:6" ht="25.5">
      <c r="A15" s="6" t="s">
        <v>51</v>
      </c>
      <c r="B15" s="7" t="s">
        <v>52</v>
      </c>
      <c r="C15" s="7" t="s">
        <v>53</v>
      </c>
      <c r="D15" s="7" t="s">
        <v>54</v>
      </c>
      <c r="E15" s="7" t="s">
        <v>55</v>
      </c>
      <c r="F15" s="13">
        <v>800000</v>
      </c>
    </row>
    <row r="16" spans="1:6">
      <c r="A16" s="8" t="s">
        <v>56</v>
      </c>
      <c r="B16" s="9" t="s">
        <v>57</v>
      </c>
      <c r="C16" s="9" t="s">
        <v>58</v>
      </c>
      <c r="D16" s="9" t="s">
        <v>59</v>
      </c>
      <c r="E16" s="9" t="s">
        <v>60</v>
      </c>
      <c r="F16" s="14">
        <v>350000</v>
      </c>
    </row>
    <row r="17" spans="1:6">
      <c r="A17" s="10" t="s">
        <v>61</v>
      </c>
      <c r="B17" s="11" t="s">
        <v>62</v>
      </c>
      <c r="C17" s="11" t="s">
        <v>63</v>
      </c>
      <c r="D17" s="11" t="s">
        <v>59</v>
      </c>
      <c r="E17" s="11" t="s">
        <v>60</v>
      </c>
      <c r="F17" s="15">
        <v>350000</v>
      </c>
    </row>
  </sheetData>
  <mergeCells count="2">
    <mergeCell ref="A1:F1"/>
    <mergeCell ref="A2:F2"/>
  </mergeCells>
  <dataValidations count="1">
    <dataValidation type="list" sqref="D4:D100" xr:uid="{00000000-0002-0000-0000-000000000000}">
      <formula1>"TECH001,TECH002,TECH003,TECH004,TECH005,TECH006,TECH007,TECH008,TECH009,TECH010"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9"/>
  <sheetViews>
    <sheetView topLeftCell="A26" workbookViewId="0">
      <selection activeCell="A31" sqref="A31"/>
    </sheetView>
  </sheetViews>
  <sheetFormatPr defaultRowHeight="14.25"/>
  <cols>
    <col min="1" max="1" width="32" customWidth="1"/>
    <col min="2" max="2" width="22" customWidth="1"/>
    <col min="3" max="3" width="16" customWidth="1"/>
    <col min="4" max="4" width="28" customWidth="1"/>
    <col min="5" max="9" width="14" customWidth="1"/>
    <col min="10" max="10" width="12" customWidth="1"/>
    <col min="11" max="11" width="18" customWidth="1"/>
    <col min="12" max="15" width="15" customWidth="1"/>
    <col min="16" max="17" width="13" customWidth="1"/>
    <col min="18" max="18" width="15" customWidth="1"/>
    <col min="19" max="19" width="17" customWidth="1"/>
    <col min="20" max="21" width="16" customWidth="1"/>
    <col min="22" max="22" width="15" customWidth="1"/>
    <col min="23" max="24" width="17" customWidth="1"/>
    <col min="25" max="26" width="35" customWidth="1"/>
    <col min="27" max="28" width="43" customWidth="1"/>
    <col min="29" max="29" width="14" customWidth="1"/>
  </cols>
  <sheetData>
    <row r="1" spans="1:10" ht="27.95" customHeight="1">
      <c r="A1" s="92" t="s">
        <v>64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38.1" customHeight="1">
      <c r="A2" s="93" t="s">
        <v>65</v>
      </c>
      <c r="B2" s="93"/>
      <c r="C2" s="93"/>
      <c r="D2" s="93"/>
      <c r="E2" s="93"/>
      <c r="F2" s="93"/>
      <c r="G2" s="93"/>
      <c r="H2" s="93"/>
      <c r="I2" s="93"/>
      <c r="J2" s="93"/>
    </row>
    <row r="4" spans="1:10" ht="15.75">
      <c r="A4" s="99" t="s">
        <v>66</v>
      </c>
      <c r="B4" s="99"/>
      <c r="C4" s="99"/>
      <c r="D4" s="99"/>
    </row>
    <row r="5" spans="1:10">
      <c r="A5" s="1" t="s">
        <v>67</v>
      </c>
      <c r="B5" s="2" t="s">
        <v>68</v>
      </c>
      <c r="C5" s="2" t="s">
        <v>69</v>
      </c>
      <c r="D5" s="3" t="s">
        <v>70</v>
      </c>
    </row>
    <row r="6" spans="1:10" ht="30" customHeight="1">
      <c r="A6" s="16" t="s">
        <v>71</v>
      </c>
      <c r="B6" s="22">
        <v>70</v>
      </c>
      <c r="C6" s="17" t="s">
        <v>72</v>
      </c>
      <c r="D6" s="18" t="s">
        <v>73</v>
      </c>
    </row>
    <row r="7" spans="1:10" ht="30" customHeight="1">
      <c r="A7" s="19" t="s">
        <v>74</v>
      </c>
      <c r="B7" s="23">
        <v>30</v>
      </c>
      <c r="C7" s="20" t="s">
        <v>72</v>
      </c>
      <c r="D7" s="21" t="s">
        <v>75</v>
      </c>
    </row>
    <row r="9" spans="1:10" ht="15.75">
      <c r="A9" s="99" t="s">
        <v>76</v>
      </c>
      <c r="B9" s="99"/>
      <c r="C9" s="99"/>
      <c r="D9" s="99"/>
      <c r="E9" s="99"/>
      <c r="F9" s="99"/>
      <c r="G9" s="99"/>
      <c r="H9" s="99"/>
      <c r="I9" s="99"/>
      <c r="J9" s="99"/>
    </row>
    <row r="10" spans="1:10" ht="42" customHeight="1">
      <c r="A10" s="1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3" t="s">
        <v>86</v>
      </c>
    </row>
    <row r="11" spans="1:10" ht="15">
      <c r="A11" s="25" t="s">
        <v>87</v>
      </c>
      <c r="B11" s="28">
        <v>10</v>
      </c>
      <c r="C11" s="29">
        <v>5</v>
      </c>
      <c r="D11" s="29">
        <v>15</v>
      </c>
      <c r="E11" s="29">
        <v>30</v>
      </c>
      <c r="F11" s="29">
        <v>14</v>
      </c>
      <c r="G11" s="29">
        <v>13</v>
      </c>
      <c r="H11" s="29">
        <v>8</v>
      </c>
      <c r="I11" s="30">
        <v>5</v>
      </c>
      <c r="J11" s="37">
        <f t="shared" ref="J11:J17" si="0">SUM(B11:I11)</f>
        <v>100</v>
      </c>
    </row>
    <row r="12" spans="1:10" ht="15">
      <c r="A12" s="26" t="s">
        <v>88</v>
      </c>
      <c r="B12" s="31">
        <v>10</v>
      </c>
      <c r="C12" s="32">
        <v>5</v>
      </c>
      <c r="D12" s="32">
        <v>30</v>
      </c>
      <c r="E12" s="32">
        <v>15</v>
      </c>
      <c r="F12" s="32">
        <v>14</v>
      </c>
      <c r="G12" s="32">
        <v>13</v>
      </c>
      <c r="H12" s="32">
        <v>8</v>
      </c>
      <c r="I12" s="33">
        <v>5</v>
      </c>
      <c r="J12" s="38">
        <f t="shared" si="0"/>
        <v>100</v>
      </c>
    </row>
    <row r="13" spans="1:10" ht="15">
      <c r="A13" s="26" t="s">
        <v>89</v>
      </c>
      <c r="B13" s="31">
        <v>9</v>
      </c>
      <c r="C13" s="32">
        <v>5</v>
      </c>
      <c r="D13" s="32">
        <v>18</v>
      </c>
      <c r="E13" s="32">
        <v>17</v>
      </c>
      <c r="F13" s="32">
        <v>14</v>
      </c>
      <c r="G13" s="32">
        <v>25</v>
      </c>
      <c r="H13" s="32">
        <v>7</v>
      </c>
      <c r="I13" s="33">
        <v>5</v>
      </c>
      <c r="J13" s="38">
        <f t="shared" si="0"/>
        <v>100</v>
      </c>
    </row>
    <row r="14" spans="1:10" ht="15">
      <c r="A14" s="26" t="s">
        <v>90</v>
      </c>
      <c r="B14" s="31">
        <v>10</v>
      </c>
      <c r="C14" s="32">
        <v>5</v>
      </c>
      <c r="D14" s="32">
        <v>20</v>
      </c>
      <c r="E14" s="32">
        <v>20</v>
      </c>
      <c r="F14" s="32">
        <v>15</v>
      </c>
      <c r="G14" s="32">
        <v>15</v>
      </c>
      <c r="H14" s="32">
        <v>10</v>
      </c>
      <c r="I14" s="33">
        <v>5</v>
      </c>
      <c r="J14" s="38">
        <f t="shared" si="0"/>
        <v>100</v>
      </c>
    </row>
    <row r="15" spans="1:10" ht="15">
      <c r="A15" s="26" t="s">
        <v>91</v>
      </c>
      <c r="B15" s="31">
        <v>8</v>
      </c>
      <c r="C15" s="32">
        <v>5</v>
      </c>
      <c r="D15" s="32">
        <v>15</v>
      </c>
      <c r="E15" s="32">
        <v>17</v>
      </c>
      <c r="F15" s="32">
        <v>18</v>
      </c>
      <c r="G15" s="32">
        <v>25</v>
      </c>
      <c r="H15" s="32">
        <v>7</v>
      </c>
      <c r="I15" s="33">
        <v>5</v>
      </c>
      <c r="J15" s="38">
        <f t="shared" si="0"/>
        <v>100</v>
      </c>
    </row>
    <row r="16" spans="1:10" ht="15">
      <c r="A16" s="26" t="s">
        <v>92</v>
      </c>
      <c r="B16" s="31">
        <v>8</v>
      </c>
      <c r="C16" s="32">
        <v>5</v>
      </c>
      <c r="D16" s="32">
        <v>18</v>
      </c>
      <c r="E16" s="32">
        <v>16</v>
      </c>
      <c r="F16" s="32">
        <v>13</v>
      </c>
      <c r="G16" s="32">
        <v>13</v>
      </c>
      <c r="H16" s="32">
        <v>22</v>
      </c>
      <c r="I16" s="33">
        <v>5</v>
      </c>
      <c r="J16" s="38">
        <f t="shared" si="0"/>
        <v>100</v>
      </c>
    </row>
    <row r="17" spans="1:29" ht="15">
      <c r="A17" s="27" t="s">
        <v>93</v>
      </c>
      <c r="B17" s="34">
        <v>8</v>
      </c>
      <c r="C17" s="35">
        <v>5</v>
      </c>
      <c r="D17" s="35">
        <v>16</v>
      </c>
      <c r="E17" s="35">
        <v>16</v>
      </c>
      <c r="F17" s="35">
        <v>13</v>
      </c>
      <c r="G17" s="35">
        <v>13</v>
      </c>
      <c r="H17" s="35">
        <v>7</v>
      </c>
      <c r="I17" s="36">
        <v>22</v>
      </c>
      <c r="J17" s="39">
        <f t="shared" si="0"/>
        <v>100</v>
      </c>
    </row>
    <row r="18" spans="1:29" ht="32.1" customHeight="1">
      <c r="A18" s="104" t="s">
        <v>94</v>
      </c>
      <c r="B18" s="104"/>
      <c r="C18" s="104"/>
      <c r="D18" s="104"/>
      <c r="E18" s="104"/>
      <c r="F18" s="104"/>
      <c r="G18" s="104"/>
      <c r="H18" s="104"/>
      <c r="I18" s="104"/>
      <c r="J18" s="104"/>
    </row>
    <row r="20" spans="1:29" ht="15.75">
      <c r="A20" s="99" t="s">
        <v>95</v>
      </c>
      <c r="B20" s="99"/>
      <c r="C20" s="99"/>
      <c r="D20" s="99"/>
    </row>
    <row r="21" spans="1:29" ht="15">
      <c r="A21" s="40" t="s">
        <v>96</v>
      </c>
      <c r="B21" s="41" t="s">
        <v>97</v>
      </c>
      <c r="C21" s="100" t="s">
        <v>70</v>
      </c>
      <c r="D21" s="101"/>
    </row>
    <row r="22" spans="1:29" ht="15">
      <c r="A22" s="22" t="s">
        <v>98</v>
      </c>
      <c r="B22" s="43" t="s">
        <v>99</v>
      </c>
      <c r="C22" s="102" t="s">
        <v>100</v>
      </c>
      <c r="D22" s="103"/>
    </row>
    <row r="23" spans="1:29" ht="15">
      <c r="A23" s="42" t="s">
        <v>101</v>
      </c>
      <c r="B23" s="44" t="s">
        <v>102</v>
      </c>
      <c r="C23" s="94" t="s">
        <v>103</v>
      </c>
      <c r="D23" s="95"/>
    </row>
    <row r="24" spans="1:29" ht="15">
      <c r="A24" s="42" t="s">
        <v>104</v>
      </c>
      <c r="B24" s="44" t="s">
        <v>105</v>
      </c>
      <c r="C24" s="94" t="s">
        <v>106</v>
      </c>
      <c r="D24" s="95"/>
    </row>
    <row r="25" spans="1:29" ht="15">
      <c r="A25" s="42" t="s">
        <v>107</v>
      </c>
      <c r="B25" s="44" t="s">
        <v>108</v>
      </c>
      <c r="C25" s="94" t="s">
        <v>109</v>
      </c>
      <c r="D25" s="95"/>
    </row>
    <row r="26" spans="1:29" ht="15">
      <c r="A26" s="23" t="s">
        <v>110</v>
      </c>
      <c r="B26" s="45" t="s">
        <v>111</v>
      </c>
      <c r="C26" s="96" t="s">
        <v>112</v>
      </c>
      <c r="D26" s="97"/>
    </row>
    <row r="28" spans="1:29" ht="15.75">
      <c r="A28" s="98" t="s">
        <v>113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</row>
    <row r="29" spans="1:29" ht="54.95" customHeight="1">
      <c r="A29" s="46" t="s">
        <v>5</v>
      </c>
      <c r="B29" s="47" t="s">
        <v>6</v>
      </c>
      <c r="C29" s="47" t="s">
        <v>114</v>
      </c>
      <c r="D29" s="47" t="s">
        <v>115</v>
      </c>
      <c r="E29" s="47" t="s">
        <v>116</v>
      </c>
      <c r="F29" s="47" t="s">
        <v>117</v>
      </c>
      <c r="G29" s="47" t="s">
        <v>118</v>
      </c>
      <c r="H29" s="47" t="s">
        <v>119</v>
      </c>
      <c r="I29" s="47" t="s">
        <v>120</v>
      </c>
      <c r="J29" s="47" t="s">
        <v>121</v>
      </c>
      <c r="K29" s="47" t="s">
        <v>122</v>
      </c>
      <c r="L29" s="47" t="s">
        <v>123</v>
      </c>
      <c r="M29" s="47" t="s">
        <v>124</v>
      </c>
      <c r="N29" s="47" t="s">
        <v>125</v>
      </c>
      <c r="O29" s="47" t="s">
        <v>126</v>
      </c>
      <c r="P29" s="47" t="s">
        <v>127</v>
      </c>
      <c r="Q29" s="47" t="s">
        <v>128</v>
      </c>
      <c r="R29" s="47" t="s">
        <v>129</v>
      </c>
      <c r="S29" s="47" t="s">
        <v>130</v>
      </c>
      <c r="T29" s="47" t="s">
        <v>131</v>
      </c>
      <c r="U29" s="47" t="s">
        <v>132</v>
      </c>
      <c r="V29" s="47" t="s">
        <v>133</v>
      </c>
      <c r="W29" s="47" t="s">
        <v>134</v>
      </c>
      <c r="X29" s="47" t="s">
        <v>135</v>
      </c>
      <c r="Y29" s="47" t="s">
        <v>136</v>
      </c>
      <c r="Z29" s="47" t="s">
        <v>137</v>
      </c>
      <c r="AA29" s="47" t="s">
        <v>138</v>
      </c>
      <c r="AB29" s="47" t="s">
        <v>139</v>
      </c>
      <c r="AC29" s="48" t="s">
        <v>140</v>
      </c>
    </row>
    <row r="30" spans="1:29" ht="36">
      <c r="A30" s="49" t="s">
        <v>44</v>
      </c>
      <c r="B30" s="50" t="s">
        <v>45</v>
      </c>
      <c r="C30" s="50" t="s">
        <v>141</v>
      </c>
      <c r="D30" s="50" t="s">
        <v>142</v>
      </c>
      <c r="E30" s="73">
        <v>20</v>
      </c>
      <c r="F30" s="73">
        <v>60</v>
      </c>
      <c r="G30" s="73">
        <v>100</v>
      </c>
      <c r="H30" s="73">
        <v>100</v>
      </c>
      <c r="I30" s="73">
        <v>100</v>
      </c>
      <c r="J30" s="73">
        <v>100</v>
      </c>
      <c r="K30" s="73">
        <v>100</v>
      </c>
      <c r="L30" s="73">
        <v>40</v>
      </c>
      <c r="M30" s="73">
        <v>20</v>
      </c>
      <c r="N30" s="73">
        <v>100</v>
      </c>
      <c r="O30" s="73">
        <v>80</v>
      </c>
      <c r="P30" s="73">
        <v>80</v>
      </c>
      <c r="Q30" s="73">
        <v>80</v>
      </c>
      <c r="R30" s="57">
        <v>3</v>
      </c>
      <c r="S30" s="61">
        <v>500</v>
      </c>
      <c r="T30" s="61">
        <v>200</v>
      </c>
      <c r="U30" s="61">
        <v>3</v>
      </c>
      <c r="V30" s="61">
        <v>65</v>
      </c>
      <c r="W30" s="65">
        <v>1500000</v>
      </c>
      <c r="X30" s="65">
        <v>8000000</v>
      </c>
      <c r="Y30" s="50" t="s">
        <v>143</v>
      </c>
      <c r="Z30" s="50" t="s">
        <v>144</v>
      </c>
      <c r="AA30" s="50" t="s">
        <v>145</v>
      </c>
      <c r="AB30" s="50" t="s">
        <v>146</v>
      </c>
      <c r="AC30" s="69" t="s">
        <v>147</v>
      </c>
    </row>
    <row r="31" spans="1:29" ht="36">
      <c r="A31" s="51" t="s">
        <v>39</v>
      </c>
      <c r="B31" s="52" t="s">
        <v>40</v>
      </c>
      <c r="C31" s="52" t="s">
        <v>141</v>
      </c>
      <c r="D31" s="52" t="s">
        <v>142</v>
      </c>
      <c r="E31" s="74">
        <v>20</v>
      </c>
      <c r="F31" s="74">
        <v>80</v>
      </c>
      <c r="G31" s="74">
        <v>100</v>
      </c>
      <c r="H31" s="74">
        <v>80</v>
      </c>
      <c r="I31" s="74">
        <v>80</v>
      </c>
      <c r="J31" s="74">
        <v>80</v>
      </c>
      <c r="K31" s="74">
        <v>80</v>
      </c>
      <c r="L31" s="74">
        <v>40</v>
      </c>
      <c r="M31" s="74">
        <v>20</v>
      </c>
      <c r="N31" s="74">
        <v>100</v>
      </c>
      <c r="O31" s="74">
        <v>80</v>
      </c>
      <c r="P31" s="74">
        <v>60</v>
      </c>
      <c r="Q31" s="74">
        <v>80</v>
      </c>
      <c r="R31" s="58">
        <v>5.5</v>
      </c>
      <c r="S31" s="62">
        <v>750</v>
      </c>
      <c r="T31" s="62">
        <v>500</v>
      </c>
      <c r="U31" s="62">
        <v>4</v>
      </c>
      <c r="V31" s="62">
        <v>75</v>
      </c>
      <c r="W31" s="66">
        <v>1200000</v>
      </c>
      <c r="X31" s="66">
        <v>7000000</v>
      </c>
      <c r="Y31" s="52" t="s">
        <v>148</v>
      </c>
      <c r="Z31" s="52" t="s">
        <v>149</v>
      </c>
      <c r="AA31" s="52" t="s">
        <v>150</v>
      </c>
      <c r="AB31" s="52" t="s">
        <v>151</v>
      </c>
      <c r="AC31" s="70" t="s">
        <v>147</v>
      </c>
    </row>
    <row r="32" spans="1:29" ht="36">
      <c r="A32" s="53" t="s">
        <v>11</v>
      </c>
      <c r="B32" s="54" t="s">
        <v>12</v>
      </c>
      <c r="C32" s="54" t="s">
        <v>141</v>
      </c>
      <c r="D32" s="54" t="s">
        <v>152</v>
      </c>
      <c r="E32" s="75">
        <v>100</v>
      </c>
      <c r="F32" s="75">
        <v>40</v>
      </c>
      <c r="G32" s="75">
        <v>20</v>
      </c>
      <c r="H32" s="75">
        <v>20</v>
      </c>
      <c r="I32" s="75">
        <v>20</v>
      </c>
      <c r="J32" s="75">
        <v>100</v>
      </c>
      <c r="K32" s="75">
        <v>60</v>
      </c>
      <c r="L32" s="75">
        <v>100</v>
      </c>
      <c r="M32" s="75">
        <v>80</v>
      </c>
      <c r="N32" s="75">
        <v>100</v>
      </c>
      <c r="O32" s="75">
        <v>80</v>
      </c>
      <c r="P32" s="75">
        <v>40</v>
      </c>
      <c r="Q32" s="75">
        <v>60</v>
      </c>
      <c r="R32" s="59">
        <v>8</v>
      </c>
      <c r="S32" s="63">
        <v>1500</v>
      </c>
      <c r="T32" s="63">
        <v>800</v>
      </c>
      <c r="U32" s="63">
        <v>5</v>
      </c>
      <c r="V32" s="63">
        <v>75</v>
      </c>
      <c r="W32" s="67">
        <v>2500000</v>
      </c>
      <c r="X32" s="67">
        <v>15000000</v>
      </c>
      <c r="Y32" s="54" t="s">
        <v>153</v>
      </c>
      <c r="Z32" s="54" t="s">
        <v>154</v>
      </c>
      <c r="AA32" s="54" t="s">
        <v>155</v>
      </c>
      <c r="AB32" s="54" t="s">
        <v>156</v>
      </c>
      <c r="AC32" s="71" t="s">
        <v>147</v>
      </c>
    </row>
    <row r="33" spans="1:29" ht="36">
      <c r="A33" s="51" t="s">
        <v>24</v>
      </c>
      <c r="B33" s="52" t="s">
        <v>25</v>
      </c>
      <c r="C33" s="52" t="s">
        <v>141</v>
      </c>
      <c r="D33" s="52" t="s">
        <v>152</v>
      </c>
      <c r="E33" s="74">
        <v>100</v>
      </c>
      <c r="F33" s="74">
        <v>60</v>
      </c>
      <c r="G33" s="74">
        <v>20</v>
      </c>
      <c r="H33" s="74">
        <v>20</v>
      </c>
      <c r="I33" s="74">
        <v>20</v>
      </c>
      <c r="J33" s="74">
        <v>100</v>
      </c>
      <c r="K33" s="74">
        <v>80</v>
      </c>
      <c r="L33" s="74">
        <v>100</v>
      </c>
      <c r="M33" s="74">
        <v>80</v>
      </c>
      <c r="N33" s="74">
        <v>100</v>
      </c>
      <c r="O33" s="74">
        <v>80</v>
      </c>
      <c r="P33" s="74">
        <v>80</v>
      </c>
      <c r="Q33" s="74">
        <v>100</v>
      </c>
      <c r="R33" s="58">
        <v>5</v>
      </c>
      <c r="S33" s="62">
        <v>1000</v>
      </c>
      <c r="T33" s="62">
        <v>500</v>
      </c>
      <c r="U33" s="62">
        <v>4</v>
      </c>
      <c r="V33" s="62">
        <v>70</v>
      </c>
      <c r="W33" s="66">
        <v>2000000</v>
      </c>
      <c r="X33" s="66">
        <v>12000000</v>
      </c>
      <c r="Y33" s="52" t="s">
        <v>157</v>
      </c>
      <c r="Z33" s="52" t="s">
        <v>158</v>
      </c>
      <c r="AA33" s="52" t="s">
        <v>159</v>
      </c>
      <c r="AB33" s="52" t="s">
        <v>160</v>
      </c>
      <c r="AC33" s="70" t="s">
        <v>147</v>
      </c>
    </row>
    <row r="34" spans="1:29" ht="36">
      <c r="A34" s="53" t="s">
        <v>59</v>
      </c>
      <c r="B34" s="54" t="s">
        <v>60</v>
      </c>
      <c r="C34" s="54" t="s">
        <v>141</v>
      </c>
      <c r="D34" s="54" t="s">
        <v>161</v>
      </c>
      <c r="E34" s="75">
        <v>20</v>
      </c>
      <c r="F34" s="75">
        <v>80</v>
      </c>
      <c r="G34" s="75">
        <v>80</v>
      </c>
      <c r="H34" s="75">
        <v>80</v>
      </c>
      <c r="I34" s="75">
        <v>80</v>
      </c>
      <c r="J34" s="75">
        <v>40</v>
      </c>
      <c r="K34" s="75">
        <v>80</v>
      </c>
      <c r="L34" s="75">
        <v>40</v>
      </c>
      <c r="M34" s="75">
        <v>20</v>
      </c>
      <c r="N34" s="75">
        <v>100</v>
      </c>
      <c r="O34" s="75">
        <v>80</v>
      </c>
      <c r="P34" s="75">
        <v>100</v>
      </c>
      <c r="Q34" s="75">
        <v>100</v>
      </c>
      <c r="R34" s="59">
        <v>3</v>
      </c>
      <c r="S34" s="63">
        <v>300</v>
      </c>
      <c r="T34" s="63">
        <v>250</v>
      </c>
      <c r="U34" s="63">
        <v>1</v>
      </c>
      <c r="V34" s="63">
        <v>55</v>
      </c>
      <c r="W34" s="67">
        <v>350000</v>
      </c>
      <c r="X34" s="67">
        <v>2500000</v>
      </c>
      <c r="Y34" s="54" t="s">
        <v>162</v>
      </c>
      <c r="Z34" s="54" t="s">
        <v>163</v>
      </c>
      <c r="AA34" s="54" t="s">
        <v>164</v>
      </c>
      <c r="AB34" s="54" t="s">
        <v>165</v>
      </c>
      <c r="AC34" s="71" t="s">
        <v>147</v>
      </c>
    </row>
    <row r="35" spans="1:29" ht="36">
      <c r="A35" s="51" t="s">
        <v>19</v>
      </c>
      <c r="B35" s="52" t="s">
        <v>20</v>
      </c>
      <c r="C35" s="52" t="s">
        <v>141</v>
      </c>
      <c r="D35" s="52" t="s">
        <v>152</v>
      </c>
      <c r="E35" s="74">
        <v>100</v>
      </c>
      <c r="F35" s="74">
        <v>40</v>
      </c>
      <c r="G35" s="74">
        <v>20</v>
      </c>
      <c r="H35" s="74">
        <v>20</v>
      </c>
      <c r="I35" s="74">
        <v>20</v>
      </c>
      <c r="J35" s="74">
        <v>100</v>
      </c>
      <c r="K35" s="74">
        <v>60</v>
      </c>
      <c r="L35" s="74">
        <v>80</v>
      </c>
      <c r="M35" s="74">
        <v>100</v>
      </c>
      <c r="N35" s="74">
        <v>40</v>
      </c>
      <c r="O35" s="74">
        <v>60</v>
      </c>
      <c r="P35" s="74">
        <v>60</v>
      </c>
      <c r="Q35" s="74">
        <v>60</v>
      </c>
      <c r="R35" s="58">
        <v>5</v>
      </c>
      <c r="S35" s="62">
        <v>1000</v>
      </c>
      <c r="T35" s="62">
        <v>400</v>
      </c>
      <c r="U35" s="62">
        <v>3</v>
      </c>
      <c r="V35" s="62">
        <v>50</v>
      </c>
      <c r="W35" s="66">
        <v>800000</v>
      </c>
      <c r="X35" s="66">
        <v>7000000</v>
      </c>
      <c r="Y35" s="52" t="s">
        <v>166</v>
      </c>
      <c r="Z35" s="52" t="s">
        <v>167</v>
      </c>
      <c r="AA35" s="52" t="s">
        <v>168</v>
      </c>
      <c r="AB35" s="52" t="s">
        <v>169</v>
      </c>
      <c r="AC35" s="70" t="s">
        <v>147</v>
      </c>
    </row>
    <row r="36" spans="1:29" ht="36">
      <c r="A36" s="53" t="s">
        <v>29</v>
      </c>
      <c r="B36" s="54" t="s">
        <v>30</v>
      </c>
      <c r="C36" s="54" t="s">
        <v>141</v>
      </c>
      <c r="D36" s="54" t="s">
        <v>152</v>
      </c>
      <c r="E36" s="75">
        <v>100</v>
      </c>
      <c r="F36" s="75">
        <v>40</v>
      </c>
      <c r="G36" s="75">
        <v>20</v>
      </c>
      <c r="H36" s="75">
        <v>20</v>
      </c>
      <c r="I36" s="75">
        <v>20</v>
      </c>
      <c r="J36" s="75">
        <v>60</v>
      </c>
      <c r="K36" s="75">
        <v>40</v>
      </c>
      <c r="L36" s="75">
        <v>60</v>
      </c>
      <c r="M36" s="75">
        <v>40</v>
      </c>
      <c r="N36" s="75">
        <v>100</v>
      </c>
      <c r="O36" s="75">
        <v>60</v>
      </c>
      <c r="P36" s="75">
        <v>80</v>
      </c>
      <c r="Q36" s="75">
        <v>60</v>
      </c>
      <c r="R36" s="59">
        <v>5</v>
      </c>
      <c r="S36" s="63">
        <v>500</v>
      </c>
      <c r="T36" s="63">
        <v>300</v>
      </c>
      <c r="U36" s="63">
        <v>2</v>
      </c>
      <c r="V36" s="63">
        <v>45</v>
      </c>
      <c r="W36" s="67">
        <v>250000</v>
      </c>
      <c r="X36" s="67">
        <v>1500000</v>
      </c>
      <c r="Y36" s="54" t="s">
        <v>170</v>
      </c>
      <c r="Z36" s="54" t="s">
        <v>171</v>
      </c>
      <c r="AA36" s="54" t="s">
        <v>172</v>
      </c>
      <c r="AB36" s="54" t="s">
        <v>173</v>
      </c>
      <c r="AC36" s="71" t="s">
        <v>147</v>
      </c>
    </row>
    <row r="37" spans="1:29" ht="36">
      <c r="A37" s="51" t="s">
        <v>34</v>
      </c>
      <c r="B37" s="52" t="s">
        <v>35</v>
      </c>
      <c r="C37" s="52" t="s">
        <v>141</v>
      </c>
      <c r="D37" s="52" t="s">
        <v>142</v>
      </c>
      <c r="E37" s="74">
        <v>20</v>
      </c>
      <c r="F37" s="74">
        <v>40</v>
      </c>
      <c r="G37" s="74">
        <v>80</v>
      </c>
      <c r="H37" s="74">
        <v>100</v>
      </c>
      <c r="I37" s="74">
        <v>80</v>
      </c>
      <c r="J37" s="74">
        <v>80</v>
      </c>
      <c r="K37" s="74">
        <v>40</v>
      </c>
      <c r="L37" s="74">
        <v>20</v>
      </c>
      <c r="M37" s="74">
        <v>20</v>
      </c>
      <c r="N37" s="74">
        <v>100</v>
      </c>
      <c r="O37" s="74">
        <v>80</v>
      </c>
      <c r="P37" s="74">
        <v>60</v>
      </c>
      <c r="Q37" s="74">
        <v>40</v>
      </c>
      <c r="R37" s="58">
        <v>3</v>
      </c>
      <c r="S37" s="62">
        <v>500</v>
      </c>
      <c r="T37" s="62">
        <v>50</v>
      </c>
      <c r="U37" s="62">
        <v>2</v>
      </c>
      <c r="V37" s="62">
        <v>50</v>
      </c>
      <c r="W37" s="66">
        <v>250000</v>
      </c>
      <c r="X37" s="66">
        <v>1200000</v>
      </c>
      <c r="Y37" s="52" t="s">
        <v>174</v>
      </c>
      <c r="Z37" s="52" t="s">
        <v>175</v>
      </c>
      <c r="AA37" s="52" t="s">
        <v>176</v>
      </c>
      <c r="AB37" s="52" t="s">
        <v>177</v>
      </c>
      <c r="AC37" s="70" t="s">
        <v>147</v>
      </c>
    </row>
    <row r="38" spans="1:29" ht="36">
      <c r="A38" s="53" t="s">
        <v>49</v>
      </c>
      <c r="B38" s="54" t="s">
        <v>50</v>
      </c>
      <c r="C38" s="54" t="s">
        <v>141</v>
      </c>
      <c r="D38" s="54" t="s">
        <v>142</v>
      </c>
      <c r="E38" s="75">
        <v>20</v>
      </c>
      <c r="F38" s="75">
        <v>80</v>
      </c>
      <c r="G38" s="75">
        <v>100</v>
      </c>
      <c r="H38" s="75">
        <v>100</v>
      </c>
      <c r="I38" s="75">
        <v>100</v>
      </c>
      <c r="J38" s="75">
        <v>80</v>
      </c>
      <c r="K38" s="75">
        <v>100</v>
      </c>
      <c r="L38" s="75">
        <v>40</v>
      </c>
      <c r="M38" s="75">
        <v>20</v>
      </c>
      <c r="N38" s="75">
        <v>100</v>
      </c>
      <c r="O38" s="75">
        <v>100</v>
      </c>
      <c r="P38" s="75">
        <v>100</v>
      </c>
      <c r="Q38" s="75">
        <v>100</v>
      </c>
      <c r="R38" s="59">
        <v>4</v>
      </c>
      <c r="S38" s="63">
        <v>500</v>
      </c>
      <c r="T38" s="63">
        <v>250</v>
      </c>
      <c r="U38" s="63">
        <v>3</v>
      </c>
      <c r="V38" s="63">
        <v>70</v>
      </c>
      <c r="W38" s="67">
        <v>1200000</v>
      </c>
      <c r="X38" s="67">
        <v>6000000</v>
      </c>
      <c r="Y38" s="54" t="s">
        <v>178</v>
      </c>
      <c r="Z38" s="54" t="s">
        <v>179</v>
      </c>
      <c r="AA38" s="54" t="s">
        <v>180</v>
      </c>
      <c r="AB38" s="54" t="s">
        <v>181</v>
      </c>
      <c r="AC38" s="71" t="s">
        <v>147</v>
      </c>
    </row>
    <row r="39" spans="1:29" ht="36">
      <c r="A39" s="55" t="s">
        <v>54</v>
      </c>
      <c r="B39" s="56" t="s">
        <v>55</v>
      </c>
      <c r="C39" s="56" t="s">
        <v>141</v>
      </c>
      <c r="D39" s="56" t="s">
        <v>142</v>
      </c>
      <c r="E39" s="76">
        <v>20</v>
      </c>
      <c r="F39" s="76">
        <v>80</v>
      </c>
      <c r="G39" s="76">
        <v>100</v>
      </c>
      <c r="H39" s="76">
        <v>100</v>
      </c>
      <c r="I39" s="76">
        <v>80</v>
      </c>
      <c r="J39" s="76">
        <v>80</v>
      </c>
      <c r="K39" s="76">
        <v>80</v>
      </c>
      <c r="L39" s="76">
        <v>40</v>
      </c>
      <c r="M39" s="76">
        <v>20</v>
      </c>
      <c r="N39" s="76">
        <v>100</v>
      </c>
      <c r="O39" s="76">
        <v>80</v>
      </c>
      <c r="P39" s="76">
        <v>100</v>
      </c>
      <c r="Q39" s="76">
        <v>80</v>
      </c>
      <c r="R39" s="60">
        <v>3.5</v>
      </c>
      <c r="S39" s="64">
        <v>500</v>
      </c>
      <c r="T39" s="64">
        <v>150</v>
      </c>
      <c r="U39" s="64">
        <v>2</v>
      </c>
      <c r="V39" s="64">
        <v>60</v>
      </c>
      <c r="W39" s="68">
        <v>800000</v>
      </c>
      <c r="X39" s="68">
        <v>4000000</v>
      </c>
      <c r="Y39" s="56" t="s">
        <v>182</v>
      </c>
      <c r="Z39" s="56" t="s">
        <v>183</v>
      </c>
      <c r="AA39" s="56" t="s">
        <v>184</v>
      </c>
      <c r="AB39" s="56" t="s">
        <v>185</v>
      </c>
      <c r="AC39" s="72" t="s">
        <v>147</v>
      </c>
    </row>
  </sheetData>
  <mergeCells count="13">
    <mergeCell ref="A1:J1"/>
    <mergeCell ref="A2:J2"/>
    <mergeCell ref="A4:D4"/>
    <mergeCell ref="A9:J9"/>
    <mergeCell ref="A18:J18"/>
    <mergeCell ref="C25:D25"/>
    <mergeCell ref="C26:D26"/>
    <mergeCell ref="A28:AC28"/>
    <mergeCell ref="A20:D20"/>
    <mergeCell ref="C21:D21"/>
    <mergeCell ref="C22:D22"/>
    <mergeCell ref="C23:D23"/>
    <mergeCell ref="C24:D24"/>
  </mergeCells>
  <conditionalFormatting sqref="E30:Q39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J11:J17">
    <cfRule type="expression" dxfId="0" priority="1">
      <formula>J11&lt;&gt;100</formula>
    </cfRule>
  </conditionalFormatting>
  <dataValidations count="1">
    <dataValidation type="whole" showDropDown="1" showErrorMessage="1" errorTitle="Score must be 0–100" error="Enter a whole-number technology capability score from 0 to 100." sqref="E30:Q39" xr:uid="{00000000-0002-0000-0100-000000000000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tabSelected="1" workbookViewId="0">
      <selection activeCell="C7" sqref="C7"/>
    </sheetView>
  </sheetViews>
  <sheetFormatPr defaultRowHeight="14.25"/>
  <cols>
    <col min="1" max="1" width="16" customWidth="1"/>
    <col min="2" max="2" width="18" customWidth="1"/>
    <col min="3" max="3" width="32" customWidth="1"/>
    <col min="4" max="4" width="18" customWidth="1"/>
    <col min="5" max="5" width="58" customWidth="1"/>
  </cols>
  <sheetData>
    <row r="1" spans="1:5" ht="27.95" customHeight="1">
      <c r="A1" s="90" t="s">
        <v>186</v>
      </c>
      <c r="B1" s="90"/>
      <c r="C1" s="90"/>
      <c r="D1" s="90"/>
      <c r="E1" s="90"/>
    </row>
    <row r="2" spans="1:5" ht="42" customHeight="1">
      <c r="A2" s="91" t="s">
        <v>187</v>
      </c>
      <c r="B2" s="91"/>
      <c r="C2" s="91"/>
      <c r="D2" s="91"/>
      <c r="E2" s="91"/>
    </row>
    <row r="3" spans="1:5" ht="36" customHeight="1">
      <c r="A3" s="77" t="s">
        <v>4</v>
      </c>
      <c r="B3" s="78" t="s">
        <v>5</v>
      </c>
      <c r="C3" s="78" t="s">
        <v>188</v>
      </c>
      <c r="D3" s="78" t="s">
        <v>189</v>
      </c>
      <c r="E3" s="79" t="s">
        <v>190</v>
      </c>
    </row>
    <row r="4" spans="1:5" ht="21.95" customHeight="1">
      <c r="A4" s="5" t="s">
        <v>10</v>
      </c>
      <c r="B4" s="5" t="s">
        <v>39</v>
      </c>
      <c r="C4" s="85" t="s">
        <v>192</v>
      </c>
      <c r="D4" s="85" t="s">
        <v>191</v>
      </c>
      <c r="E4" s="89" t="s">
        <v>193</v>
      </c>
    </row>
    <row r="5" spans="1:5" ht="21.95" customHeight="1">
      <c r="A5" s="80"/>
      <c r="B5" s="24"/>
      <c r="C5" s="24"/>
      <c r="D5" s="24"/>
      <c r="E5" s="81"/>
    </row>
    <row r="6" spans="1:5" ht="21.95" customHeight="1">
      <c r="A6" s="86"/>
      <c r="B6" s="87"/>
      <c r="C6" s="87"/>
      <c r="D6" s="87"/>
      <c r="E6" s="88"/>
    </row>
    <row r="7" spans="1:5" ht="21.95" customHeight="1">
      <c r="A7" s="80"/>
      <c r="B7" s="24"/>
      <c r="C7" s="24"/>
      <c r="D7" s="24"/>
      <c r="E7" s="81"/>
    </row>
    <row r="8" spans="1:5" ht="21.95" customHeight="1">
      <c r="A8" s="86"/>
      <c r="B8" s="87"/>
      <c r="C8" s="87"/>
      <c r="D8" s="87"/>
      <c r="E8" s="88"/>
    </row>
    <row r="9" spans="1:5" ht="21.95" customHeight="1">
      <c r="A9" s="80"/>
      <c r="B9" s="24"/>
      <c r="C9" s="24"/>
      <c r="D9" s="24"/>
      <c r="E9" s="81"/>
    </row>
    <row r="10" spans="1:5" ht="21.95" customHeight="1">
      <c r="A10" s="86"/>
      <c r="B10" s="87"/>
      <c r="C10" s="87"/>
      <c r="D10" s="87"/>
      <c r="E10" s="88"/>
    </row>
    <row r="11" spans="1:5" ht="21.95" customHeight="1">
      <c r="A11" s="80"/>
      <c r="B11" s="24"/>
      <c r="C11" s="24"/>
      <c r="D11" s="24"/>
      <c r="E11" s="81"/>
    </row>
    <row r="12" spans="1:5" ht="21.95" customHeight="1">
      <c r="A12" s="86"/>
      <c r="B12" s="87"/>
      <c r="C12" s="87"/>
      <c r="D12" s="87"/>
      <c r="E12" s="88"/>
    </row>
    <row r="13" spans="1:5" ht="21.95" customHeight="1">
      <c r="A13" s="80"/>
      <c r="B13" s="24"/>
      <c r="C13" s="24"/>
      <c r="D13" s="24"/>
      <c r="E13" s="81"/>
    </row>
    <row r="14" spans="1:5" ht="21.95" customHeight="1">
      <c r="A14" s="86"/>
      <c r="B14" s="87"/>
      <c r="C14" s="87"/>
      <c r="D14" s="87"/>
      <c r="E14" s="88"/>
    </row>
    <row r="15" spans="1:5" ht="21.95" customHeight="1">
      <c r="A15" s="80"/>
      <c r="B15" s="24"/>
      <c r="C15" s="24"/>
      <c r="D15" s="24"/>
      <c r="E15" s="81"/>
    </row>
    <row r="16" spans="1:5" ht="21.95" customHeight="1">
      <c r="A16" s="86"/>
      <c r="B16" s="87"/>
      <c r="C16" s="87"/>
      <c r="D16" s="87"/>
      <c r="E16" s="88"/>
    </row>
    <row r="17" spans="1:5" ht="21.95" customHeight="1">
      <c r="A17" s="80"/>
      <c r="B17" s="24"/>
      <c r="C17" s="24"/>
      <c r="D17" s="24"/>
      <c r="E17" s="81"/>
    </row>
    <row r="18" spans="1:5" ht="21.95" customHeight="1">
      <c r="A18" s="86"/>
      <c r="B18" s="87"/>
      <c r="C18" s="87"/>
      <c r="D18" s="87"/>
      <c r="E18" s="88"/>
    </row>
    <row r="19" spans="1:5" ht="21.95" customHeight="1">
      <c r="A19" s="80"/>
      <c r="B19" s="24"/>
      <c r="C19" s="24"/>
      <c r="D19" s="24"/>
      <c r="E19" s="81"/>
    </row>
    <row r="20" spans="1:5" ht="21.95" customHeight="1">
      <c r="A20" s="86"/>
      <c r="B20" s="87"/>
      <c r="C20" s="87"/>
      <c r="D20" s="87"/>
      <c r="E20" s="88"/>
    </row>
    <row r="21" spans="1:5" ht="21.95" customHeight="1">
      <c r="A21" s="80"/>
      <c r="B21" s="24"/>
      <c r="C21" s="24"/>
      <c r="D21" s="24"/>
      <c r="E21" s="81"/>
    </row>
    <row r="22" spans="1:5" ht="21.95" customHeight="1">
      <c r="A22" s="86"/>
      <c r="B22" s="87"/>
      <c r="C22" s="87"/>
      <c r="D22" s="87"/>
      <c r="E22" s="88"/>
    </row>
    <row r="23" spans="1:5" ht="21.95" customHeight="1">
      <c r="A23" s="80"/>
      <c r="B23" s="24"/>
      <c r="C23" s="24"/>
      <c r="D23" s="24"/>
      <c r="E23" s="81"/>
    </row>
    <row r="24" spans="1:5" ht="21.95" customHeight="1">
      <c r="A24" s="86"/>
      <c r="B24" s="87"/>
      <c r="C24" s="87"/>
      <c r="D24" s="87"/>
      <c r="E24" s="88"/>
    </row>
    <row r="25" spans="1:5" ht="21.95" customHeight="1">
      <c r="A25" s="80"/>
      <c r="B25" s="24"/>
      <c r="C25" s="24"/>
      <c r="D25" s="24"/>
      <c r="E25" s="81"/>
    </row>
    <row r="26" spans="1:5" ht="21.95" customHeight="1">
      <c r="A26" s="86"/>
      <c r="B26" s="87"/>
      <c r="C26" s="87"/>
      <c r="D26" s="87"/>
      <c r="E26" s="88"/>
    </row>
    <row r="27" spans="1:5" ht="21.95" customHeight="1">
      <c r="A27" s="80"/>
      <c r="B27" s="24"/>
      <c r="C27" s="24"/>
      <c r="D27" s="24"/>
      <c r="E27" s="81"/>
    </row>
    <row r="28" spans="1:5" ht="21.95" customHeight="1">
      <c r="A28" s="86"/>
      <c r="B28" s="87"/>
      <c r="C28" s="87"/>
      <c r="D28" s="87"/>
      <c r="E28" s="88"/>
    </row>
    <row r="29" spans="1:5" ht="21.95" customHeight="1">
      <c r="A29" s="80"/>
      <c r="B29" s="24"/>
      <c r="C29" s="24"/>
      <c r="D29" s="24"/>
      <c r="E29" s="81"/>
    </row>
    <row r="30" spans="1:5" ht="21.95" customHeight="1">
      <c r="A30" s="86"/>
      <c r="B30" s="87"/>
      <c r="C30" s="87"/>
      <c r="D30" s="87"/>
      <c r="E30" s="88"/>
    </row>
    <row r="31" spans="1:5" ht="21.95" customHeight="1">
      <c r="A31" s="80"/>
      <c r="B31" s="24"/>
      <c r="C31" s="24"/>
      <c r="D31" s="24"/>
      <c r="E31" s="81"/>
    </row>
    <row r="32" spans="1:5" ht="21.95" customHeight="1">
      <c r="A32" s="86"/>
      <c r="B32" s="87"/>
      <c r="C32" s="87"/>
      <c r="D32" s="87"/>
      <c r="E32" s="88"/>
    </row>
    <row r="33" spans="1:5" ht="21.95" customHeight="1">
      <c r="A33" s="80"/>
      <c r="B33" s="24"/>
      <c r="C33" s="24"/>
      <c r="D33" s="24"/>
      <c r="E33" s="81"/>
    </row>
    <row r="34" spans="1:5" ht="21.95" customHeight="1">
      <c r="A34" s="86"/>
      <c r="B34" s="87"/>
      <c r="C34" s="87"/>
      <c r="D34" s="87"/>
      <c r="E34" s="88"/>
    </row>
    <row r="35" spans="1:5" ht="21.95" customHeight="1">
      <c r="A35" s="80"/>
      <c r="B35" s="24"/>
      <c r="C35" s="24"/>
      <c r="D35" s="24"/>
      <c r="E35" s="81"/>
    </row>
    <row r="36" spans="1:5" ht="21.95" customHeight="1">
      <c r="A36" s="86"/>
      <c r="B36" s="87"/>
      <c r="C36" s="87"/>
      <c r="D36" s="87"/>
      <c r="E36" s="88"/>
    </row>
    <row r="37" spans="1:5" ht="21.95" customHeight="1">
      <c r="A37" s="80"/>
      <c r="B37" s="24"/>
      <c r="C37" s="24"/>
      <c r="D37" s="24"/>
      <c r="E37" s="81"/>
    </row>
    <row r="38" spans="1:5" ht="21.95" customHeight="1">
      <c r="A38" s="86"/>
      <c r="B38" s="87"/>
      <c r="C38" s="87"/>
      <c r="D38" s="87"/>
      <c r="E38" s="88"/>
    </row>
    <row r="39" spans="1:5" ht="21.95" customHeight="1">
      <c r="A39" s="80"/>
      <c r="B39" s="24"/>
      <c r="C39" s="24"/>
      <c r="D39" s="24"/>
      <c r="E39" s="81"/>
    </row>
    <row r="40" spans="1:5" ht="21.95" customHeight="1">
      <c r="A40" s="86"/>
      <c r="B40" s="87"/>
      <c r="C40" s="87"/>
      <c r="D40" s="87"/>
      <c r="E40" s="88"/>
    </row>
    <row r="41" spans="1:5" ht="21.95" customHeight="1">
      <c r="A41" s="80"/>
      <c r="B41" s="24"/>
      <c r="C41" s="24"/>
      <c r="D41" s="24"/>
      <c r="E41" s="81"/>
    </row>
    <row r="42" spans="1:5" ht="21.95" customHeight="1">
      <c r="A42" s="86"/>
      <c r="B42" s="87"/>
      <c r="C42" s="87"/>
      <c r="D42" s="87"/>
      <c r="E42" s="88"/>
    </row>
    <row r="43" spans="1:5" ht="21.95" customHeight="1">
      <c r="A43" s="80"/>
      <c r="B43" s="24"/>
      <c r="C43" s="24"/>
      <c r="D43" s="24"/>
      <c r="E43" s="81"/>
    </row>
    <row r="44" spans="1:5" ht="21.95" customHeight="1">
      <c r="A44" s="86"/>
      <c r="B44" s="87"/>
      <c r="C44" s="87"/>
      <c r="D44" s="87"/>
      <c r="E44" s="88"/>
    </row>
    <row r="45" spans="1:5" ht="21.95" customHeight="1">
      <c r="A45" s="80"/>
      <c r="B45" s="24"/>
      <c r="C45" s="24"/>
      <c r="D45" s="24"/>
      <c r="E45" s="81"/>
    </row>
    <row r="46" spans="1:5" ht="21.95" customHeight="1">
      <c r="A46" s="86"/>
      <c r="B46" s="87"/>
      <c r="C46" s="87"/>
      <c r="D46" s="87"/>
      <c r="E46" s="88"/>
    </row>
    <row r="47" spans="1:5" ht="21.95" customHeight="1">
      <c r="A47" s="80"/>
      <c r="B47" s="24"/>
      <c r="C47" s="24"/>
      <c r="D47" s="24"/>
      <c r="E47" s="81"/>
    </row>
    <row r="48" spans="1:5" ht="21.95" customHeight="1">
      <c r="A48" s="86"/>
      <c r="B48" s="87"/>
      <c r="C48" s="87"/>
      <c r="D48" s="87"/>
      <c r="E48" s="88"/>
    </row>
    <row r="49" spans="1:5" ht="21.95" customHeight="1">
      <c r="A49" s="80"/>
      <c r="B49" s="24"/>
      <c r="C49" s="24"/>
      <c r="D49" s="24"/>
      <c r="E49" s="81"/>
    </row>
    <row r="50" spans="1:5" ht="21.95" customHeight="1">
      <c r="A50" s="86"/>
      <c r="B50" s="87"/>
      <c r="C50" s="87"/>
      <c r="D50" s="87"/>
      <c r="E50" s="88"/>
    </row>
    <row r="51" spans="1:5" ht="21.95" customHeight="1">
      <c r="A51" s="80"/>
      <c r="B51" s="24"/>
      <c r="C51" s="24"/>
      <c r="D51" s="24"/>
      <c r="E51" s="81"/>
    </row>
    <row r="52" spans="1:5" ht="21.95" customHeight="1">
      <c r="A52" s="86"/>
      <c r="B52" s="87"/>
      <c r="C52" s="87"/>
      <c r="D52" s="87"/>
      <c r="E52" s="88"/>
    </row>
    <row r="53" spans="1:5" ht="21.95" customHeight="1">
      <c r="A53" s="82"/>
      <c r="B53" s="83"/>
      <c r="C53" s="83"/>
      <c r="D53" s="83"/>
      <c r="E53" s="84"/>
    </row>
  </sheetData>
  <mergeCells count="2">
    <mergeCell ref="A1:E1"/>
    <mergeCell ref="A2:E2"/>
  </mergeCells>
  <dataValidations count="2">
    <dataValidation type="list" allowBlank="1" sqref="D4:D53" xr:uid="{00000000-0002-0000-0200-000002000000}">
      <formula1>"Video,Folder,Brochure,Case Study,Product Page,Other"</formula1>
    </dataValidation>
    <dataValidation type="list" sqref="B4" xr:uid="{F436D584-49EF-4C9A-8217-FD0CA6A46B3D}">
      <formula1>"TECH001,TECH002,TECH003,TECH004,TECH005,TECH006,TECH007,TECH008,TECH009,TECH010"</formula1>
    </dataValidation>
  </dataValidations>
  <hyperlinks>
    <hyperlink ref="E4" r:id="rId1" xr:uid="{D1C0D30B-46A2-41C4-B513-834FB319DD2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'Vendor Library'!$C$4:$C$17</xm:f>
          </x14:formula1>
          <xm:sqref>A5:A53</xm:sqref>
        </x14:dataValidation>
        <x14:dataValidation type="list" allowBlank="1" xr:uid="{00000000-0002-0000-0200-000001000000}">
          <x14:formula1>
            <xm:f>'Technology Performance Database'!$A$30:$A$39</xm:f>
          </x14:formula1>
          <xm:sqref>B5:B53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Library</vt:lpstr>
      <vt:lpstr>Technology Performance Database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HONGLI</cp:lastModifiedBy>
  <dcterms:modified xsi:type="dcterms:W3CDTF">2026-07-28T08:30:19Z</dcterms:modified>
</cp:coreProperties>
</file>